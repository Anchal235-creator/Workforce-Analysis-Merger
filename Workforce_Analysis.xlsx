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cha\AppData\Roaming\Microsoft\Windows\Network Shortcuts\"/>
    </mc:Choice>
  </mc:AlternateContent>
  <xr:revisionPtr revIDLastSave="0" documentId="8_{0C6C2AE2-30A0-4993-9302-A57A43E22260}" xr6:coauthVersionLast="47" xr6:coauthVersionMax="47" xr10:uidLastSave="{00000000-0000-0000-0000-000000000000}"/>
  <bookViews>
    <workbookView xWindow="-108" yWindow="-108" windowWidth="23256" windowHeight="13896" activeTab="4" xr2:uid="{943BDCCF-AB53-47B4-9DD0-A93AE172DD0D}"/>
  </bookViews>
  <sheets>
    <sheet name="EmployeeData" sheetId="1" r:id="rId1"/>
    <sheet name="Analysis" sheetId="2" r:id="rId2"/>
    <sheet name="Solution " sheetId="4" r:id="rId3"/>
    <sheet name="Sheet1" sheetId="6" r:id="rId4"/>
    <sheet name="Sheet3" sheetId="10" r:id="rId5"/>
    <sheet name="Sheet2" sheetId="8" r:id="rId6"/>
    <sheet name="Dashboard" sheetId="7" r:id="rId7"/>
    <sheet name="Employee id " sheetId="5" r:id="rId8"/>
  </sheets>
  <externalReferences>
    <externalReference r:id="rId9"/>
  </externalReferences>
  <definedNames>
    <definedName name="_xlnm._FilterDatabase" localSheetId="0" hidden="1">EmployeeData!$A$1:$R$1001</definedName>
    <definedName name="_xlchart.v1.0" hidden="1">Sheet2!$A$17:$A$26</definedName>
    <definedName name="_xlchart.v1.1" hidden="1">Sheet2!$B$17:$B$26</definedName>
    <definedName name="_xlchart.v1.2" hidden="1">Sheet2!$C$17:$C$26</definedName>
    <definedName name="_xlchart.v1.3" hidden="1">Sheet2!$A$17:$A$26</definedName>
    <definedName name="_xlchart.v1.4" hidden="1">Sheet2!$B$17:$B$26</definedName>
    <definedName name="_xlchart.v1.5" hidden="1">Sheet2!$C$17:$C$26</definedName>
    <definedName name="Slicer_Company_Origin__Trim_">#N/A</definedName>
    <definedName name="Slicer_Department_Trim_">#N/A</definedName>
    <definedName name="Slicer_Work_Ratings">#N/A</definedName>
  </definedNames>
  <calcPr calcId="191028"/>
  <pivotCaches>
    <pivotCache cacheId="3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7" l="1"/>
  <c r="F3" i="7"/>
  <c r="D3" i="7"/>
  <c r="B3" i="7"/>
  <c r="C31" i="2"/>
  <c r="C30" i="2"/>
  <c r="C27" i="2"/>
  <c r="C26" i="2"/>
  <c r="C25" i="2"/>
  <c r="C21" i="2"/>
  <c r="C22" i="2"/>
  <c r="E17" i="2"/>
  <c r="E16" i="2"/>
  <c r="E14" i="2"/>
  <c r="E13" i="2"/>
  <c r="E11" i="2"/>
  <c r="E10" i="2"/>
  <c r="E9" i="2"/>
  <c r="E5" i="2"/>
  <c r="E4" i="2"/>
  <c r="E3" i="2"/>
  <c r="B11" i="2"/>
  <c r="B10" i="2"/>
  <c r="B9" i="2"/>
  <c r="B4" i="2"/>
  <c r="B3" i="2"/>
  <c r="Q846" i="1"/>
  <c r="Q298" i="1"/>
  <c r="Q701" i="1"/>
  <c r="Q327" i="1"/>
  <c r="Q861" i="1"/>
  <c r="Q639" i="1"/>
  <c r="Q622" i="1"/>
  <c r="Q764" i="1"/>
  <c r="Q877" i="1"/>
  <c r="Q754" i="1"/>
  <c r="Q511" i="1"/>
  <c r="Q173" i="1"/>
  <c r="Q240" i="1"/>
  <c r="Q482" i="1"/>
  <c r="Q557" i="1"/>
  <c r="Q398" i="1"/>
  <c r="Q328" i="1"/>
  <c r="Q396" i="1"/>
  <c r="Q184" i="1"/>
  <c r="Q547" i="1"/>
  <c r="Q593" i="1"/>
  <c r="Q771" i="1"/>
  <c r="Q359" i="1"/>
  <c r="Q909" i="1"/>
  <c r="Q708" i="1"/>
  <c r="Q284" i="1"/>
  <c r="Q752" i="1"/>
  <c r="Q364" i="1"/>
  <c r="Q483" i="1"/>
  <c r="Q899" i="1"/>
  <c r="Q244" i="1"/>
  <c r="Q197" i="1"/>
  <c r="Q512" i="1"/>
  <c r="Q317" i="1"/>
  <c r="Q231" i="1"/>
  <c r="Q981" i="1"/>
  <c r="Q587" i="1"/>
  <c r="Q882" i="1"/>
  <c r="Q351" i="1"/>
  <c r="Q920" i="1"/>
  <c r="Q934" i="1"/>
  <c r="Q728" i="1"/>
  <c r="Q987" i="1"/>
  <c r="Q382" i="1"/>
  <c r="Q331" i="1"/>
  <c r="Q983" i="1"/>
  <c r="Q530" i="1"/>
  <c r="Q785" i="1"/>
  <c r="Q923" i="1"/>
  <c r="Q952" i="1"/>
  <c r="Q287" i="1"/>
  <c r="Q387" i="1"/>
  <c r="Q984" i="1"/>
  <c r="Q297" i="1"/>
  <c r="Q953" i="1"/>
  <c r="Q345" i="1"/>
  <c r="Q360" i="1"/>
  <c r="Q921" i="1"/>
  <c r="Q561" i="1"/>
  <c r="Q765" i="1"/>
  <c r="Q388" i="1"/>
  <c r="Q269" i="1"/>
  <c r="Q729" i="1"/>
  <c r="Q270" i="1"/>
  <c r="Q219" i="1"/>
  <c r="Q578" i="1"/>
  <c r="Q192" i="1"/>
  <c r="Q862" i="1"/>
  <c r="Q821" i="1"/>
  <c r="Q766" i="1"/>
  <c r="Q900" i="1"/>
  <c r="Q599" i="1"/>
  <c r="Q955" i="1"/>
  <c r="Q232" i="1"/>
  <c r="Q863" i="1"/>
  <c r="Q460" i="1"/>
  <c r="Q241" i="1"/>
  <c r="Q607" i="1"/>
  <c r="Q403" i="1"/>
  <c r="Q361" i="1"/>
  <c r="Q886" i="1"/>
  <c r="Q822" i="1"/>
  <c r="Q924" i="1"/>
  <c r="Q783" i="1"/>
  <c r="Q604" i="1"/>
  <c r="Q837" i="1"/>
  <c r="Q857" i="1"/>
  <c r="Q753" i="1"/>
  <c r="Q727" i="1"/>
  <c r="Q755" i="1"/>
  <c r="Q329" i="1"/>
  <c r="Q340" i="1"/>
  <c r="Q242" i="1"/>
  <c r="Q144" i="1"/>
  <c r="Q988" i="1"/>
  <c r="Q605" i="1"/>
  <c r="Q791" i="1"/>
  <c r="Q991" i="1"/>
  <c r="Q381" i="1"/>
  <c r="Q370" i="1"/>
  <c r="Q887" i="1"/>
  <c r="Q452" i="1"/>
  <c r="Q341" i="1"/>
  <c r="Q756" i="1"/>
  <c r="Q426" i="1"/>
  <c r="Q947" i="1"/>
  <c r="Q355" i="1"/>
  <c r="Q942" i="1"/>
  <c r="Q838" i="1"/>
  <c r="Q590" i="1"/>
  <c r="Q992" i="1"/>
  <c r="Q330" i="1"/>
  <c r="Q539" i="1"/>
  <c r="Q784" i="1"/>
  <c r="Q658" i="1"/>
  <c r="Q185" i="1"/>
  <c r="Q917" i="1"/>
  <c r="Q839" i="1"/>
  <c r="Q408" i="1"/>
  <c r="Q757" i="1"/>
  <c r="Q889" i="1"/>
  <c r="Q719" i="1"/>
  <c r="Q675" i="1"/>
  <c r="Q603" i="1"/>
  <c r="Q576" i="1"/>
  <c r="Q907" i="1"/>
  <c r="Q440" i="1"/>
  <c r="Q801" i="1"/>
  <c r="Q941" i="1"/>
  <c r="Q908" i="1"/>
  <c r="Q925" i="1"/>
  <c r="Q883" i="1"/>
  <c r="Q633" i="1"/>
  <c r="Q957" i="1"/>
  <c r="Q371" i="1"/>
  <c r="Q338" i="1"/>
  <c r="Q681" i="1"/>
  <c r="Q995" i="1"/>
  <c r="Q652" i="1"/>
  <c r="Q922" i="1"/>
  <c r="Q318" i="1"/>
  <c r="Q453" i="1"/>
  <c r="Q831" i="1"/>
  <c r="Q888" i="1"/>
  <c r="Q412" i="1"/>
  <c r="Q145" i="1"/>
  <c r="Q911" i="1"/>
  <c r="Q608" i="1"/>
  <c r="Q251" i="1"/>
  <c r="Q358" i="1"/>
  <c r="Q339" i="1"/>
  <c r="Q332" i="1"/>
  <c r="Q174" i="1"/>
  <c r="Q577" i="1"/>
  <c r="Q913" i="1"/>
  <c r="Q832" i="1"/>
  <c r="Q663" i="1"/>
  <c r="Q372" i="1"/>
  <c r="Q299" i="1"/>
  <c r="Q114" i="1"/>
  <c r="Q146" i="1"/>
  <c r="Q928" i="1"/>
  <c r="Q786" i="1"/>
  <c r="Q935" i="1"/>
  <c r="Q623" i="1"/>
  <c r="Q186" i="1"/>
  <c r="Q823" i="1"/>
  <c r="Q56" i="1"/>
  <c r="Q81" i="1"/>
  <c r="Q720" i="1"/>
  <c r="Q384" i="1"/>
  <c r="Q252" i="1"/>
  <c r="Q420" i="1"/>
  <c r="Q441" i="1"/>
  <c r="Q175" i="1"/>
  <c r="Q702" i="1"/>
  <c r="Q647" i="1"/>
  <c r="Q767" i="1"/>
  <c r="Q431" i="1"/>
  <c r="Q243" i="1"/>
  <c r="Q558" i="1"/>
  <c r="Q640" i="1"/>
  <c r="Q624" i="1"/>
  <c r="Q484" i="1"/>
  <c r="Q758" i="1"/>
  <c r="Q198" i="1"/>
  <c r="Q321" i="1"/>
  <c r="Q840" i="1"/>
  <c r="Q126" i="1"/>
  <c r="Q802" i="1"/>
  <c r="Q774" i="1"/>
  <c r="Q794" i="1"/>
  <c r="Q682" i="1"/>
  <c r="Q949" i="1"/>
  <c r="Q711" i="1"/>
  <c r="Q531" i="1"/>
  <c r="Q43" i="1"/>
  <c r="Q220" i="1"/>
  <c r="Q803" i="1"/>
  <c r="Q579" i="1"/>
  <c r="Q559" i="1"/>
  <c r="Q476" i="1"/>
  <c r="Q504" i="1"/>
  <c r="Q350" i="1"/>
  <c r="Q550" i="1"/>
  <c r="Q958" i="1"/>
  <c r="Q373" i="1"/>
  <c r="Q841" i="1"/>
  <c r="Q943" i="1"/>
  <c r="Q176" i="1"/>
  <c r="Q333" i="1"/>
  <c r="Q365" i="1"/>
  <c r="Q768" i="1"/>
  <c r="Q147" i="1"/>
  <c r="Q817" i="1"/>
  <c r="Q824" i="1"/>
  <c r="Q712" i="1"/>
  <c r="Q968" i="1"/>
  <c r="Q432" i="1"/>
  <c r="Q721" i="1"/>
  <c r="Q397" i="1"/>
  <c r="Q854" i="1"/>
  <c r="Q676" i="1"/>
  <c r="Q641" i="1"/>
  <c r="Q433" i="1"/>
  <c r="Q929" i="1"/>
  <c r="Q100" i="1"/>
  <c r="Q374" i="1"/>
  <c r="Q101" i="1"/>
  <c r="Q713" i="1"/>
  <c r="Q421" i="1"/>
  <c r="Q199" i="1"/>
  <c r="Q696" i="1"/>
  <c r="Q580" i="1"/>
  <c r="Q505" i="1"/>
  <c r="Q970" i="1"/>
  <c r="Q540" i="1"/>
  <c r="Q201" i="1"/>
  <c r="Q127" i="1"/>
  <c r="Q163" i="1"/>
  <c r="Q567" i="1"/>
  <c r="Q847" i="1"/>
  <c r="Q399" i="1"/>
  <c r="Q691" i="1"/>
  <c r="Q366" i="1"/>
  <c r="Q455" i="1"/>
  <c r="Q648" i="1"/>
  <c r="Q551" i="1"/>
  <c r="Q733" i="1"/>
  <c r="Q625" i="1"/>
  <c r="Q102" i="1"/>
  <c r="Q177" i="1"/>
  <c r="Q930" i="1"/>
  <c r="Q649" i="1"/>
  <c r="Q156" i="1"/>
  <c r="Q226" i="1"/>
  <c r="Q609" i="1"/>
  <c r="Q110" i="1"/>
  <c r="Q692" i="1"/>
  <c r="Q664" i="1"/>
  <c r="Q347" i="1"/>
  <c r="Q864" i="1"/>
  <c r="Q714" i="1"/>
  <c r="Q111" i="1"/>
  <c r="Q82" i="1"/>
  <c r="Q693" i="1"/>
  <c r="Q322" i="1"/>
  <c r="Q116" i="1"/>
  <c r="Q626" i="1"/>
  <c r="Q83" i="1"/>
  <c r="Q532" i="1"/>
  <c r="Q959" i="1"/>
  <c r="Q513" i="1"/>
  <c r="Q825" i="1"/>
  <c r="Q842" i="1"/>
  <c r="Q884" i="1"/>
  <c r="Q375" i="1"/>
  <c r="Q103" i="1"/>
  <c r="Q936" i="1"/>
  <c r="Q434" i="1"/>
  <c r="Q769" i="1"/>
  <c r="Q722" i="1"/>
  <c r="Q514" i="1"/>
  <c r="Q931" i="1"/>
  <c r="Q560" i="1"/>
  <c r="Q238" i="1"/>
  <c r="Q950" i="1"/>
  <c r="Q221" i="1"/>
  <c r="Q971" i="1"/>
  <c r="Q202" i="1"/>
  <c r="Q178" i="1"/>
  <c r="Q775" i="1"/>
  <c r="Q610" i="1"/>
  <c r="Q245" i="1"/>
  <c r="Q653" i="1"/>
  <c r="Q703" i="1"/>
  <c r="Q515" i="1"/>
  <c r="Q73" i="1"/>
  <c r="Q203" i="1"/>
  <c r="Q128" i="1"/>
  <c r="Q494" i="1"/>
  <c r="Q323" i="1"/>
  <c r="Q594" i="1"/>
  <c r="Q951" i="1"/>
  <c r="Q932" i="1"/>
  <c r="Q734" i="1"/>
  <c r="Q435" i="1"/>
  <c r="Q843" i="1"/>
  <c r="Q187" i="1"/>
  <c r="Q611" i="1"/>
  <c r="Q715" i="1"/>
  <c r="Q74" i="1"/>
  <c r="Q568" i="1"/>
  <c r="Q776" i="1"/>
  <c r="Q914" i="1"/>
  <c r="Q93" i="1"/>
  <c r="Q85" i="1"/>
  <c r="Q834" i="1"/>
  <c r="Q937" i="1"/>
  <c r="Q466" i="1"/>
  <c r="Q422" i="1"/>
  <c r="Q736" i="1"/>
  <c r="Q737" i="1"/>
  <c r="Q516" i="1"/>
  <c r="Q324" i="1"/>
  <c r="Q477" i="1"/>
  <c r="Q485" i="1"/>
  <c r="Q254" i="1"/>
  <c r="Q277" i="1"/>
  <c r="Q164" i="1"/>
  <c r="Q612" i="1"/>
  <c r="Q654" i="1"/>
  <c r="Q457" i="1"/>
  <c r="Q595" i="1"/>
  <c r="Q148" i="1"/>
  <c r="Q467" i="1"/>
  <c r="Q191" i="1"/>
  <c r="Q553" i="1"/>
  <c r="Q495" i="1"/>
  <c r="Q46" i="1"/>
  <c r="Q57" i="1"/>
  <c r="Q569" i="1"/>
  <c r="Q747" i="1"/>
  <c r="Q596" i="1"/>
  <c r="Q972" i="1"/>
  <c r="Q613" i="1"/>
  <c r="Q637" i="1"/>
  <c r="Q334" i="1"/>
  <c r="Q478" i="1"/>
  <c r="Q506" i="1"/>
  <c r="Q804" i="1"/>
  <c r="Q973" i="1"/>
  <c r="Q367" i="1"/>
  <c r="Q255" i="1"/>
  <c r="Q386" i="1"/>
  <c r="Q496" i="1"/>
  <c r="Q59" i="1"/>
  <c r="Q94" i="1"/>
  <c r="Q300" i="1"/>
  <c r="Q885" i="1"/>
  <c r="Q442" i="1"/>
  <c r="Q227" i="1"/>
  <c r="Q149" i="1"/>
  <c r="Q157" i="1"/>
  <c r="Q694" i="1"/>
  <c r="Q581" i="1"/>
  <c r="Q642" i="1"/>
  <c r="Q614" i="1"/>
  <c r="Q665" i="1"/>
  <c r="Q570" i="1"/>
  <c r="Q738" i="1"/>
  <c r="Q597" i="1"/>
  <c r="Q60" i="1"/>
  <c r="Q443" i="1"/>
  <c r="Q288" i="1"/>
  <c r="Q376" i="1"/>
  <c r="Q33" i="1"/>
  <c r="Q643" i="1"/>
  <c r="Q48" i="1"/>
  <c r="Q517" i="1"/>
  <c r="Q571" i="1"/>
  <c r="Q818" i="1"/>
  <c r="Q158" i="1"/>
  <c r="Q486" i="1"/>
  <c r="Q819" i="1"/>
  <c r="Q814" i="1"/>
  <c r="Q222" i="1"/>
  <c r="Q444" i="1"/>
  <c r="Q468" i="1"/>
  <c r="Q933" i="1"/>
  <c r="Q159" i="1"/>
  <c r="Q447" i="1"/>
  <c r="Q75" i="1"/>
  <c r="Q160" i="1"/>
  <c r="Q86" i="1"/>
  <c r="Q788" i="1"/>
  <c r="Q165" i="1"/>
  <c r="Q805" i="1"/>
  <c r="Q289" i="1"/>
  <c r="Q458" i="1"/>
  <c r="Q290" i="1"/>
  <c r="Q848" i="1"/>
  <c r="Q402" i="1"/>
  <c r="Q487" i="1"/>
  <c r="Q389" i="1"/>
  <c r="Q204" i="1"/>
  <c r="Q256" i="1"/>
  <c r="Q615" i="1"/>
  <c r="Q61" i="1"/>
  <c r="Q121" i="1"/>
  <c r="Q104" i="1"/>
  <c r="Q789" i="1"/>
  <c r="Q716" i="1"/>
  <c r="Q62" i="1"/>
  <c r="Q826" i="1"/>
  <c r="Q684" i="1"/>
  <c r="Q790" i="1"/>
  <c r="Q890" i="1"/>
  <c r="Q518" i="1"/>
  <c r="Q723" i="1"/>
  <c r="Q974" i="1"/>
  <c r="Q795" i="1"/>
  <c r="Q479" i="1"/>
  <c r="Q112" i="1"/>
  <c r="Q572" i="1"/>
  <c r="Q677" i="1"/>
  <c r="Q95" i="1"/>
  <c r="Q265" i="1"/>
  <c r="Q105" i="1"/>
  <c r="Q903" i="1"/>
  <c r="Q122" i="1"/>
  <c r="Q717" i="1"/>
  <c r="Q34" i="1"/>
  <c r="Q904" i="1"/>
  <c r="Q96" i="1"/>
  <c r="Q759" i="1"/>
  <c r="Q97" i="1"/>
  <c r="Q616" i="1"/>
  <c r="Q302" i="1"/>
  <c r="Q666" i="1"/>
  <c r="Q206" i="1"/>
  <c r="Q335" i="1"/>
  <c r="Q179" i="1"/>
  <c r="Q678" i="1"/>
  <c r="Q836" i="1"/>
  <c r="Q377" i="1"/>
  <c r="Q573" i="1"/>
  <c r="Q63" i="1"/>
  <c r="Q704" i="1"/>
  <c r="Q644" i="1"/>
  <c r="Q424" i="1"/>
  <c r="Q915" i="1"/>
  <c r="Q617" i="1"/>
  <c r="Q278" i="1"/>
  <c r="Q291" i="1"/>
  <c r="Q279" i="1"/>
  <c r="Q266" i="1"/>
  <c r="Q98" i="1"/>
  <c r="Q304" i="1"/>
  <c r="Q739" i="1"/>
  <c r="Q740" i="1"/>
  <c r="Q892" i="1"/>
  <c r="Q600" i="1"/>
  <c r="Q582" i="1"/>
  <c r="Q425" i="1"/>
  <c r="Q123" i="1"/>
  <c r="Q207" i="1"/>
  <c r="Q685" i="1"/>
  <c r="Q827" i="1"/>
  <c r="Q208" i="1"/>
  <c r="Q193" i="1"/>
  <c r="Q390" i="1"/>
  <c r="Q445" i="1"/>
  <c r="Q469" i="1"/>
  <c r="Q305" i="1"/>
  <c r="Q404" i="1"/>
  <c r="Q519" i="1"/>
  <c r="Q488" i="1"/>
  <c r="Q106" i="1"/>
  <c r="Q448" i="1"/>
  <c r="Q49" i="1"/>
  <c r="Q64" i="1"/>
  <c r="Q188" i="1"/>
  <c r="Q353" i="1"/>
  <c r="Q960" i="1"/>
  <c r="Q271" i="1"/>
  <c r="Q686" i="1"/>
  <c r="Q520" i="1"/>
  <c r="Q470" i="1"/>
  <c r="Q449" i="1"/>
  <c r="Q630" i="1"/>
  <c r="Q533" i="1"/>
  <c r="Q189" i="1"/>
  <c r="Q497" i="1"/>
  <c r="Q272" i="1"/>
  <c r="Q99" i="1"/>
  <c r="Q498" i="1"/>
  <c r="Q280" i="1"/>
  <c r="Q267" i="1"/>
  <c r="Q697" i="1"/>
  <c r="Q348" i="1"/>
  <c r="Q471" i="1"/>
  <c r="Q583" i="1"/>
  <c r="Q844" i="1"/>
  <c r="Q354" i="1"/>
  <c r="Q893" i="1"/>
  <c r="Q541" i="1"/>
  <c r="Q695" i="1"/>
  <c r="Q306" i="1"/>
  <c r="Q679" i="1"/>
  <c r="Q228" i="1"/>
  <c r="Q645" i="1"/>
  <c r="Q741" i="1"/>
  <c r="Q150" i="1"/>
  <c r="Q534" i="1"/>
  <c r="Q151" i="1"/>
  <c r="Q542" i="1"/>
  <c r="Q796" i="1"/>
  <c r="Q180" i="1"/>
  <c r="Q307" i="1"/>
  <c r="Q233" i="1"/>
  <c r="Q849" i="1"/>
  <c r="Q308" i="1"/>
  <c r="Q705" i="1"/>
  <c r="Q292" i="1"/>
  <c r="Q35" i="1"/>
  <c r="Q162" i="1"/>
  <c r="Q118" i="1"/>
  <c r="Q724" i="1"/>
  <c r="Q742" i="1"/>
  <c r="Q130" i="1"/>
  <c r="Q472" i="1"/>
  <c r="Q961" i="1"/>
  <c r="Q107" i="1"/>
  <c r="Q508" i="1"/>
  <c r="Q293" i="1"/>
  <c r="Q124" i="1"/>
  <c r="Q777" i="1"/>
  <c r="Q975" i="1"/>
  <c r="Q139" i="1"/>
  <c r="Q461" i="1"/>
  <c r="Q36" i="1"/>
  <c r="Q247" i="1"/>
  <c r="Q962" i="1"/>
  <c r="Q211" i="1"/>
  <c r="Q543" i="1"/>
  <c r="Q234" i="1"/>
  <c r="Q50" i="1"/>
  <c r="Q828" i="1"/>
  <c r="Q669" i="1"/>
  <c r="Q268" i="1"/>
  <c r="Q535" i="1"/>
  <c r="Q108" i="1"/>
  <c r="Q37" i="1"/>
  <c r="Q273" i="1"/>
  <c r="Q808" i="1"/>
  <c r="Q436" i="1"/>
  <c r="Q258" i="1"/>
  <c r="Q778" i="1"/>
  <c r="Q779" i="1"/>
  <c r="Q405" i="1"/>
  <c r="Q368" i="1"/>
  <c r="Q944" i="1"/>
  <c r="Q391" i="1"/>
  <c r="Q798" i="1"/>
  <c r="Q65" i="1"/>
  <c r="Q656" i="1"/>
  <c r="Q259" i="1"/>
  <c r="Q437" i="1"/>
  <c r="Q554" i="1"/>
  <c r="Q743" i="1"/>
  <c r="Q235" i="1"/>
  <c r="Q760" i="1"/>
  <c r="Q564" i="1"/>
  <c r="Q521" i="1"/>
  <c r="Q489" i="1"/>
  <c r="Q780" i="1"/>
  <c r="Q378" i="1"/>
  <c r="Q850" i="1"/>
  <c r="Q601" i="1"/>
  <c r="Q977" i="1"/>
  <c r="Q181" i="1"/>
  <c r="Q544" i="1"/>
  <c r="Q820" i="1"/>
  <c r="Q536" i="1"/>
  <c r="Q522" i="1"/>
  <c r="Q274" i="1"/>
  <c r="Q294" i="1"/>
  <c r="Q356" i="1"/>
  <c r="Q38" i="1"/>
  <c r="Q336" i="1"/>
  <c r="Q761" i="1"/>
  <c r="Q978" i="1"/>
  <c r="Q499" i="1"/>
  <c r="Q523" i="1"/>
  <c r="Q851" i="1"/>
  <c r="Q799" i="1"/>
  <c r="Q295" i="1"/>
  <c r="Q473" i="1"/>
  <c r="Q275" i="1"/>
  <c r="Q659" i="1"/>
  <c r="Q239" i="1"/>
  <c r="Q584" i="1"/>
  <c r="Q152" i="1"/>
  <c r="Q131" i="1"/>
  <c r="Q229" i="1"/>
  <c r="Q153" i="1"/>
  <c r="Q392" i="1"/>
  <c r="Q660" i="1"/>
  <c r="Q212" i="1"/>
  <c r="Q897" i="1"/>
  <c r="Q446" i="1"/>
  <c r="Q463" i="1"/>
  <c r="Q296" i="1"/>
  <c r="Q869" i="1"/>
  <c r="Q450" i="1"/>
  <c r="Q427" i="1"/>
  <c r="Q650" i="1"/>
  <c r="Q671" i="1"/>
  <c r="Q845" i="1"/>
  <c r="Q852" i="1"/>
  <c r="Q870" i="1"/>
  <c r="Q224" i="1"/>
  <c r="Q524" i="1"/>
  <c r="Q661" i="1"/>
  <c r="Q409" i="1"/>
  <c r="Q905" i="1"/>
  <c r="Q525" i="1"/>
  <c r="Q781" i="1"/>
  <c r="Q168" i="1"/>
  <c r="Q829" i="1"/>
  <c r="Q963" i="1"/>
  <c r="Q248" i="1"/>
  <c r="Q725" i="1"/>
  <c r="Q58" i="1"/>
  <c r="Q428" i="1"/>
  <c r="Q871" i="1"/>
  <c r="Q748" i="1"/>
  <c r="Q260" i="1"/>
  <c r="Q490" i="1"/>
  <c r="Q438" i="1"/>
  <c r="Q687" i="1"/>
  <c r="Q236" i="1"/>
  <c r="Q770" i="1"/>
  <c r="Q718" i="1"/>
  <c r="Q809" i="1"/>
  <c r="Q394" i="1"/>
  <c r="Q132" i="1"/>
  <c r="Q830" i="1"/>
  <c r="Q39" i="1"/>
  <c r="Q182" i="1"/>
  <c r="Q349" i="1"/>
  <c r="Q40" i="1"/>
  <c r="Q815" i="1"/>
  <c r="Q379" i="1"/>
  <c r="Q76" i="1"/>
  <c r="Q66" i="1"/>
  <c r="Q262" i="1"/>
  <c r="Q979" i="1"/>
  <c r="Q565" i="1"/>
  <c r="Q230" i="1"/>
  <c r="Q411" i="1"/>
  <c r="Q480" i="1"/>
  <c r="Q215" i="1"/>
  <c r="Q481" i="1"/>
  <c r="Q858" i="1"/>
  <c r="Q688" i="1"/>
  <c r="Q237" i="1"/>
  <c r="Q585" i="1"/>
  <c r="Q140" i="1"/>
  <c r="Q195" i="1"/>
  <c r="Q574" i="1"/>
  <c r="Q216" i="1"/>
  <c r="Q369" i="1"/>
  <c r="Q125" i="1"/>
  <c r="Q154" i="1"/>
  <c r="Q119" i="1"/>
  <c r="Q217" i="1"/>
  <c r="Q52" i="1"/>
  <c r="Q726" i="1"/>
  <c r="Q225" i="1"/>
  <c r="Q218" i="1"/>
  <c r="Q634" i="1"/>
  <c r="Q749" i="1"/>
  <c r="Q964" i="1"/>
  <c r="Q859" i="1"/>
  <c r="Q810" i="1"/>
  <c r="Q537" i="1"/>
  <c r="Q673" i="1"/>
  <c r="Q170" i="1"/>
  <c r="Q527" i="1"/>
  <c r="Q762" i="1"/>
  <c r="Q918" i="1"/>
  <c r="Q792" i="1"/>
  <c r="Q745" i="1"/>
  <c r="Q816" i="1"/>
  <c r="Q41" i="1"/>
  <c r="Q602" i="1"/>
  <c r="Q965" i="1"/>
  <c r="Q263" i="1"/>
  <c r="Q566" i="1"/>
  <c r="Q264" i="1"/>
  <c r="Q439" i="1"/>
  <c r="Q619" i="1"/>
  <c r="Q638" i="1"/>
  <c r="Q945" i="1"/>
  <c r="Q620" i="1"/>
  <c r="Q750" i="1"/>
  <c r="Q380" i="1"/>
  <c r="Q636" i="1"/>
  <c r="Q853" i="1"/>
  <c r="Q545" i="1"/>
  <c r="Q109" i="1"/>
  <c r="Q281" i="1"/>
  <c r="Q282" i="1"/>
  <c r="Q310" i="1"/>
  <c r="Q337" i="1"/>
  <c r="Q575" i="1"/>
  <c r="Q874" i="1"/>
  <c r="Q120" i="1"/>
  <c r="Q500" i="1"/>
  <c r="Q429" i="1"/>
  <c r="Q898" i="1"/>
  <c r="Q876" i="1"/>
  <c r="Q751" i="1"/>
  <c r="Q134" i="1"/>
  <c r="Q276" i="1"/>
  <c r="Q312" i="1"/>
  <c r="Q135" i="1"/>
  <c r="Q621" i="1"/>
  <c r="Q980" i="1"/>
  <c r="Q646" i="1"/>
  <c r="Q501" i="1"/>
  <c r="Q171" i="1"/>
  <c r="Q475" i="1"/>
  <c r="Q700" i="1"/>
  <c r="Q680" i="1"/>
  <c r="Q812" i="1"/>
  <c r="Q113" i="1"/>
  <c r="Q690" i="1"/>
  <c r="Q528" i="1"/>
  <c r="Q763" i="1"/>
  <c r="Q413" i="1"/>
  <c r="Q966" i="1"/>
  <c r="Q946" i="1"/>
  <c r="Q53" i="1"/>
  <c r="Q546" i="1"/>
  <c r="Q967" i="1"/>
  <c r="Q651" i="1"/>
  <c r="Q860" i="1"/>
  <c r="Q465" i="1"/>
  <c r="Q42" i="1"/>
  <c r="Q502" i="1"/>
  <c r="Q451" i="1"/>
  <c r="Q503" i="1"/>
  <c r="Q813" i="1"/>
  <c r="Q155" i="1"/>
  <c r="Q493" i="1"/>
  <c r="Q674" i="1"/>
  <c r="Q25" i="1"/>
  <c r="Q12" i="1"/>
  <c r="Q342" i="1"/>
  <c r="Q926" i="1"/>
  <c r="Q746" i="1"/>
  <c r="Q54" i="1"/>
  <c r="Q385" i="1"/>
  <c r="Q8" i="1"/>
  <c r="Q77" i="1"/>
  <c r="Q948" i="1"/>
  <c r="Q13" i="1"/>
  <c r="Q67" i="1"/>
  <c r="Q136" i="1"/>
  <c r="Q362" i="1"/>
  <c r="Q730" i="1"/>
  <c r="Q1000" i="1"/>
  <c r="Q26" i="1"/>
  <c r="Q141" i="1"/>
  <c r="Q529" i="1"/>
  <c r="Q27" i="1"/>
  <c r="Q982" i="1"/>
  <c r="Q454" i="1"/>
  <c r="Q115" i="1"/>
  <c r="Q969" i="1"/>
  <c r="Q2" i="1"/>
  <c r="Q200" i="1"/>
  <c r="Q253" i="1"/>
  <c r="Q989" i="1"/>
  <c r="Q586" i="1"/>
  <c r="Q283" i="1"/>
  <c r="Q44" i="1"/>
  <c r="Q878" i="1"/>
  <c r="Q343" i="1"/>
  <c r="Q709" i="1"/>
  <c r="Q456" i="1"/>
  <c r="Q285" i="1"/>
  <c r="Q190" i="1"/>
  <c r="Q416" i="1"/>
  <c r="Q363" i="1"/>
  <c r="Q787" i="1"/>
  <c r="Q710" i="1"/>
  <c r="Q552" i="1"/>
  <c r="Q55" i="1"/>
  <c r="Q5" i="1"/>
  <c r="Q84" i="1"/>
  <c r="Q344" i="1"/>
  <c r="Q833" i="1"/>
  <c r="Q22" i="1"/>
  <c r="Q735" i="1"/>
  <c r="Q994" i="1"/>
  <c r="Q90" i="1"/>
  <c r="Q286" i="1"/>
  <c r="Q683" i="1"/>
  <c r="Q10" i="1"/>
  <c r="Q91" i="1"/>
  <c r="Q627" i="1"/>
  <c r="Q606" i="1"/>
  <c r="Q20" i="1"/>
  <c r="Q45" i="1"/>
  <c r="Q548" i="1"/>
  <c r="Q879" i="1"/>
  <c r="Q990" i="1"/>
  <c r="Q183" i="1"/>
  <c r="Q997" i="1"/>
  <c r="Q47" i="1"/>
  <c r="Q835" i="1"/>
  <c r="Q417" i="1"/>
  <c r="Q352" i="1"/>
  <c r="Q731" i="1"/>
  <c r="Q3" i="1"/>
  <c r="Q246" i="1"/>
  <c r="Q562" i="1"/>
  <c r="Q598" i="1"/>
  <c r="Q142" i="1"/>
  <c r="Q772" i="1"/>
  <c r="Q301" i="1"/>
  <c r="Q954" i="1"/>
  <c r="Q855" i="1"/>
  <c r="Q507" i="1"/>
  <c r="Q910" i="1"/>
  <c r="Q400" i="1"/>
  <c r="Q401" i="1"/>
  <c r="Q588" i="1"/>
  <c r="Q806" i="1"/>
  <c r="Q807" i="1"/>
  <c r="Q117" i="1"/>
  <c r="Q325" i="1"/>
  <c r="Q628" i="1"/>
  <c r="Q205" i="1"/>
  <c r="Q865" i="1"/>
  <c r="Q166" i="1"/>
  <c r="Q459" i="1"/>
  <c r="Q346" i="1"/>
  <c r="Q880" i="1"/>
  <c r="Q23" i="1"/>
  <c r="Q423" i="1"/>
  <c r="Q143" i="1"/>
  <c r="Q891" i="1"/>
  <c r="Q629" i="1"/>
  <c r="Q161" i="1"/>
  <c r="Q303" i="1"/>
  <c r="Q326" i="1"/>
  <c r="Q856" i="1"/>
  <c r="Q29" i="1"/>
  <c r="Q549" i="1"/>
  <c r="Q313" i="1"/>
  <c r="Q194" i="1"/>
  <c r="Q938" i="1"/>
  <c r="Q383" i="1"/>
  <c r="Q6" i="1"/>
  <c r="Q137" i="1"/>
  <c r="Q28" i="1"/>
  <c r="Q589" i="1"/>
  <c r="Q9" i="1"/>
  <c r="Q927" i="1"/>
  <c r="Q655" i="1"/>
  <c r="Q257" i="1"/>
  <c r="Q209" i="1"/>
  <c r="Q563" i="1"/>
  <c r="Q87" i="1"/>
  <c r="Q538" i="1"/>
  <c r="Q129" i="1"/>
  <c r="Q939" i="1"/>
  <c r="Q998" i="1"/>
  <c r="Q894" i="1"/>
  <c r="Q31" i="1"/>
  <c r="Q916" i="1"/>
  <c r="Q32" i="1"/>
  <c r="Q895" i="1"/>
  <c r="Q631" i="1"/>
  <c r="Q667" i="1"/>
  <c r="Q68" i="1"/>
  <c r="Q976" i="1"/>
  <c r="Q668" i="1"/>
  <c r="Q940" i="1"/>
  <c r="Q509" i="1"/>
  <c r="Q797" i="1"/>
  <c r="Q896" i="1"/>
  <c r="Q881" i="1"/>
  <c r="Q706" i="1"/>
  <c r="Q985" i="1"/>
  <c r="Q866" i="1"/>
  <c r="Q956" i="1"/>
  <c r="Q210" i="1"/>
  <c r="Q632" i="1"/>
  <c r="Q88" i="1"/>
  <c r="Q92" i="1"/>
  <c r="Q314" i="1"/>
  <c r="Q555" i="1"/>
  <c r="Q901" i="1"/>
  <c r="Q657" i="1"/>
  <c r="Q698" i="1"/>
  <c r="Q69" i="1"/>
  <c r="Q89" i="1"/>
  <c r="Q867" i="1"/>
  <c r="Q167" i="1"/>
  <c r="Q670" i="1"/>
  <c r="Q699" i="1"/>
  <c r="Q406" i="1"/>
  <c r="Q868" i="1"/>
  <c r="Q309" i="1"/>
  <c r="Q223" i="1"/>
  <c r="Q462" i="1"/>
  <c r="Q1001" i="1"/>
  <c r="Q407" i="1"/>
  <c r="Q744" i="1"/>
  <c r="Q11" i="1"/>
  <c r="Q261" i="1"/>
  <c r="Q526" i="1"/>
  <c r="Q491" i="1"/>
  <c r="Q510" i="1"/>
  <c r="Q51" i="1"/>
  <c r="Q393" i="1"/>
  <c r="Q732" i="1"/>
  <c r="Q14" i="1"/>
  <c r="Q213" i="1"/>
  <c r="Q662" i="1"/>
  <c r="Q78" i="1"/>
  <c r="Q214" i="1"/>
  <c r="Q410" i="1"/>
  <c r="Q169" i="1"/>
  <c r="Q672" i="1"/>
  <c r="Q315" i="1"/>
  <c r="Q7" i="1"/>
  <c r="Q70" i="1"/>
  <c r="Q19" i="1"/>
  <c r="Q79" i="1"/>
  <c r="Q492" i="1"/>
  <c r="Q474" i="1"/>
  <c r="Q4" i="1"/>
  <c r="Q635" i="1"/>
  <c r="Q30" i="1"/>
  <c r="Q249" i="1"/>
  <c r="Q556" i="1"/>
  <c r="Q591" i="1"/>
  <c r="Q872" i="1"/>
  <c r="Q196" i="1"/>
  <c r="Q464" i="1"/>
  <c r="Q80" i="1"/>
  <c r="Q15" i="1"/>
  <c r="Q773" i="1"/>
  <c r="Q16" i="1"/>
  <c r="Q395" i="1"/>
  <c r="Q592" i="1"/>
  <c r="Q357" i="1"/>
  <c r="Q418" i="1"/>
  <c r="Q793" i="1"/>
  <c r="Q250" i="1"/>
  <c r="Q707" i="1"/>
  <c r="Q133" i="1"/>
  <c r="Q618" i="1"/>
  <c r="Q919" i="1"/>
  <c r="Q873" i="1"/>
  <c r="Q24" i="1"/>
  <c r="Q902" i="1"/>
  <c r="Q811" i="1"/>
  <c r="Q21" i="1"/>
  <c r="Q319" i="1"/>
  <c r="Q875" i="1"/>
  <c r="Q17" i="1"/>
  <c r="Q316" i="1"/>
  <c r="Q311" i="1"/>
  <c r="Q986" i="1"/>
  <c r="Q912" i="1"/>
  <c r="Q689" i="1"/>
  <c r="Q71" i="1"/>
  <c r="Q419" i="1"/>
  <c r="Q999" i="1"/>
  <c r="Q800" i="1"/>
  <c r="Q320" i="1"/>
  <c r="Q138" i="1"/>
  <c r="Q782" i="1"/>
  <c r="Q430" i="1"/>
  <c r="Q172" i="1"/>
  <c r="Q414" i="1"/>
  <c r="Q415" i="1"/>
  <c r="Q18" i="1"/>
  <c r="Q72" i="1"/>
  <c r="Q993" i="1"/>
  <c r="Q996" i="1"/>
  <c r="Q906" i="1"/>
  <c r="N846" i="1"/>
  <c r="N298" i="1"/>
  <c r="N701" i="1"/>
  <c r="N327" i="1"/>
  <c r="N861" i="1"/>
  <c r="N639" i="1"/>
  <c r="N622" i="1"/>
  <c r="N764" i="1"/>
  <c r="N877" i="1"/>
  <c r="N754" i="1"/>
  <c r="N511" i="1"/>
  <c r="N173" i="1"/>
  <c r="N240" i="1"/>
  <c r="N482" i="1"/>
  <c r="N557" i="1"/>
  <c r="N398" i="1"/>
  <c r="N328" i="1"/>
  <c r="N396" i="1"/>
  <c r="N184" i="1"/>
  <c r="N547" i="1"/>
  <c r="N593" i="1"/>
  <c r="N771" i="1"/>
  <c r="N359" i="1"/>
  <c r="N909" i="1"/>
  <c r="N708" i="1"/>
  <c r="N284" i="1"/>
  <c r="N752" i="1"/>
  <c r="N364" i="1"/>
  <c r="N483" i="1"/>
  <c r="N899" i="1"/>
  <c r="N244" i="1"/>
  <c r="N197" i="1"/>
  <c r="N512" i="1"/>
  <c r="N317" i="1"/>
  <c r="N231" i="1"/>
  <c r="N981" i="1"/>
  <c r="N587" i="1"/>
  <c r="N882" i="1"/>
  <c r="N351" i="1"/>
  <c r="N920" i="1"/>
  <c r="N934" i="1"/>
  <c r="N728" i="1"/>
  <c r="N987" i="1"/>
  <c r="N382" i="1"/>
  <c r="N331" i="1"/>
  <c r="N983" i="1"/>
  <c r="N530" i="1"/>
  <c r="N785" i="1"/>
  <c r="N923" i="1"/>
  <c r="N952" i="1"/>
  <c r="N287" i="1"/>
  <c r="N387" i="1"/>
  <c r="N984" i="1"/>
  <c r="N297" i="1"/>
  <c r="N953" i="1"/>
  <c r="N345" i="1"/>
  <c r="N360" i="1"/>
  <c r="N921" i="1"/>
  <c r="N561" i="1"/>
  <c r="N765" i="1"/>
  <c r="N388" i="1"/>
  <c r="N269" i="1"/>
  <c r="N729" i="1"/>
  <c r="N270" i="1"/>
  <c r="N219" i="1"/>
  <c r="N578" i="1"/>
  <c r="N192" i="1"/>
  <c r="N862" i="1"/>
  <c r="N821" i="1"/>
  <c r="N766" i="1"/>
  <c r="N900" i="1"/>
  <c r="N599" i="1"/>
  <c r="N955" i="1"/>
  <c r="N232" i="1"/>
  <c r="N863" i="1"/>
  <c r="N460" i="1"/>
  <c r="N241" i="1"/>
  <c r="N607" i="1"/>
  <c r="N403" i="1"/>
  <c r="N361" i="1"/>
  <c r="N886" i="1"/>
  <c r="N822" i="1"/>
  <c r="N924" i="1"/>
  <c r="N783" i="1"/>
  <c r="N604" i="1"/>
  <c r="N837" i="1"/>
  <c r="N857" i="1"/>
  <c r="N753" i="1"/>
  <c r="N727" i="1"/>
  <c r="N755" i="1"/>
  <c r="N329" i="1"/>
  <c r="N340" i="1"/>
  <c r="N242" i="1"/>
  <c r="N144" i="1"/>
  <c r="N988" i="1"/>
  <c r="N605" i="1"/>
  <c r="N791" i="1"/>
  <c r="N991" i="1"/>
  <c r="N381" i="1"/>
  <c r="N370" i="1"/>
  <c r="N887" i="1"/>
  <c r="N452" i="1"/>
  <c r="N341" i="1"/>
  <c r="N756" i="1"/>
  <c r="N426" i="1"/>
  <c r="N947" i="1"/>
  <c r="N355" i="1"/>
  <c r="N942" i="1"/>
  <c r="N838" i="1"/>
  <c r="N590" i="1"/>
  <c r="N992" i="1"/>
  <c r="N330" i="1"/>
  <c r="N539" i="1"/>
  <c r="N784" i="1"/>
  <c r="N658" i="1"/>
  <c r="N185" i="1"/>
  <c r="N917" i="1"/>
  <c r="N839" i="1"/>
  <c r="N408" i="1"/>
  <c r="N757" i="1"/>
  <c r="N889" i="1"/>
  <c r="N719" i="1"/>
  <c r="N675" i="1"/>
  <c r="N603" i="1"/>
  <c r="N576" i="1"/>
  <c r="N907" i="1"/>
  <c r="N440" i="1"/>
  <c r="N801" i="1"/>
  <c r="N941" i="1"/>
  <c r="N908" i="1"/>
  <c r="N925" i="1"/>
  <c r="N883" i="1"/>
  <c r="N633" i="1"/>
  <c r="N957" i="1"/>
  <c r="N371" i="1"/>
  <c r="N338" i="1"/>
  <c r="N681" i="1"/>
  <c r="N995" i="1"/>
  <c r="N652" i="1"/>
  <c r="N922" i="1"/>
  <c r="N318" i="1"/>
  <c r="N453" i="1"/>
  <c r="N831" i="1"/>
  <c r="N888" i="1"/>
  <c r="N412" i="1"/>
  <c r="N145" i="1"/>
  <c r="N911" i="1"/>
  <c r="N608" i="1"/>
  <c r="N251" i="1"/>
  <c r="N358" i="1"/>
  <c r="N339" i="1"/>
  <c r="N332" i="1"/>
  <c r="N174" i="1"/>
  <c r="N577" i="1"/>
  <c r="N913" i="1"/>
  <c r="N832" i="1"/>
  <c r="N663" i="1"/>
  <c r="N372" i="1"/>
  <c r="N299" i="1"/>
  <c r="N114" i="1"/>
  <c r="N146" i="1"/>
  <c r="N928" i="1"/>
  <c r="N786" i="1"/>
  <c r="N935" i="1"/>
  <c r="N623" i="1"/>
  <c r="N186" i="1"/>
  <c r="N823" i="1"/>
  <c r="N56" i="1"/>
  <c r="N81" i="1"/>
  <c r="N720" i="1"/>
  <c r="N384" i="1"/>
  <c r="N252" i="1"/>
  <c r="N420" i="1"/>
  <c r="N441" i="1"/>
  <c r="N175" i="1"/>
  <c r="N702" i="1"/>
  <c r="N647" i="1"/>
  <c r="N767" i="1"/>
  <c r="N431" i="1"/>
  <c r="N243" i="1"/>
  <c r="N558" i="1"/>
  <c r="N640" i="1"/>
  <c r="N624" i="1"/>
  <c r="N484" i="1"/>
  <c r="N758" i="1"/>
  <c r="N198" i="1"/>
  <c r="N321" i="1"/>
  <c r="N840" i="1"/>
  <c r="N126" i="1"/>
  <c r="N802" i="1"/>
  <c r="N774" i="1"/>
  <c r="N794" i="1"/>
  <c r="N682" i="1"/>
  <c r="N949" i="1"/>
  <c r="N711" i="1"/>
  <c r="N531" i="1"/>
  <c r="N43" i="1"/>
  <c r="N220" i="1"/>
  <c r="N803" i="1"/>
  <c r="N579" i="1"/>
  <c r="N559" i="1"/>
  <c r="N476" i="1"/>
  <c r="N504" i="1"/>
  <c r="N350" i="1"/>
  <c r="N550" i="1"/>
  <c r="N958" i="1"/>
  <c r="N373" i="1"/>
  <c r="N841" i="1"/>
  <c r="N943" i="1"/>
  <c r="N176" i="1"/>
  <c r="N333" i="1"/>
  <c r="N365" i="1"/>
  <c r="N768" i="1"/>
  <c r="N147" i="1"/>
  <c r="N817" i="1"/>
  <c r="N824" i="1"/>
  <c r="N712" i="1"/>
  <c r="N968" i="1"/>
  <c r="N432" i="1"/>
  <c r="N721" i="1"/>
  <c r="N397" i="1"/>
  <c r="N854" i="1"/>
  <c r="N676" i="1"/>
  <c r="N641" i="1"/>
  <c r="N433" i="1"/>
  <c r="N929" i="1"/>
  <c r="N100" i="1"/>
  <c r="N374" i="1"/>
  <c r="N101" i="1"/>
  <c r="N713" i="1"/>
  <c r="N421" i="1"/>
  <c r="N199" i="1"/>
  <c r="N696" i="1"/>
  <c r="N580" i="1"/>
  <c r="N505" i="1"/>
  <c r="N970" i="1"/>
  <c r="N540" i="1"/>
  <c r="N201" i="1"/>
  <c r="N127" i="1"/>
  <c r="N163" i="1"/>
  <c r="N567" i="1"/>
  <c r="N847" i="1"/>
  <c r="N399" i="1"/>
  <c r="N691" i="1"/>
  <c r="N366" i="1"/>
  <c r="N455" i="1"/>
  <c r="N648" i="1"/>
  <c r="N551" i="1"/>
  <c r="N733" i="1"/>
  <c r="N625" i="1"/>
  <c r="N102" i="1"/>
  <c r="N177" i="1"/>
  <c r="N930" i="1"/>
  <c r="N649" i="1"/>
  <c r="N156" i="1"/>
  <c r="N226" i="1"/>
  <c r="N609" i="1"/>
  <c r="N110" i="1"/>
  <c r="N692" i="1"/>
  <c r="N664" i="1"/>
  <c r="N347" i="1"/>
  <c r="N864" i="1"/>
  <c r="N714" i="1"/>
  <c r="N111" i="1"/>
  <c r="N82" i="1"/>
  <c r="N693" i="1"/>
  <c r="N322" i="1"/>
  <c r="N116" i="1"/>
  <c r="N626" i="1"/>
  <c r="N83" i="1"/>
  <c r="N532" i="1"/>
  <c r="N959" i="1"/>
  <c r="N513" i="1"/>
  <c r="N825" i="1"/>
  <c r="N842" i="1"/>
  <c r="N884" i="1"/>
  <c r="N375" i="1"/>
  <c r="N103" i="1"/>
  <c r="N936" i="1"/>
  <c r="N434" i="1"/>
  <c r="N769" i="1"/>
  <c r="N722" i="1"/>
  <c r="N514" i="1"/>
  <c r="N931" i="1"/>
  <c r="N560" i="1"/>
  <c r="N238" i="1"/>
  <c r="N950" i="1"/>
  <c r="N221" i="1"/>
  <c r="N971" i="1"/>
  <c r="N202" i="1"/>
  <c r="N178" i="1"/>
  <c r="N775" i="1"/>
  <c r="N610" i="1"/>
  <c r="N245" i="1"/>
  <c r="N653" i="1"/>
  <c r="N703" i="1"/>
  <c r="N515" i="1"/>
  <c r="N73" i="1"/>
  <c r="N203" i="1"/>
  <c r="N128" i="1"/>
  <c r="N494" i="1"/>
  <c r="N323" i="1"/>
  <c r="N594" i="1"/>
  <c r="N951" i="1"/>
  <c r="N932" i="1"/>
  <c r="N734" i="1"/>
  <c r="N435" i="1"/>
  <c r="N843" i="1"/>
  <c r="N187" i="1"/>
  <c r="N611" i="1"/>
  <c r="N715" i="1"/>
  <c r="N74" i="1"/>
  <c r="N568" i="1"/>
  <c r="N776" i="1"/>
  <c r="N914" i="1"/>
  <c r="N93" i="1"/>
  <c r="N85" i="1"/>
  <c r="N834" i="1"/>
  <c r="N937" i="1"/>
  <c r="N466" i="1"/>
  <c r="N422" i="1"/>
  <c r="N736" i="1"/>
  <c r="N737" i="1"/>
  <c r="N516" i="1"/>
  <c r="N324" i="1"/>
  <c r="N477" i="1"/>
  <c r="N485" i="1"/>
  <c r="N254" i="1"/>
  <c r="N277" i="1"/>
  <c r="N164" i="1"/>
  <c r="N612" i="1"/>
  <c r="N654" i="1"/>
  <c r="N457" i="1"/>
  <c r="N595" i="1"/>
  <c r="N148" i="1"/>
  <c r="N467" i="1"/>
  <c r="N191" i="1"/>
  <c r="N553" i="1"/>
  <c r="N495" i="1"/>
  <c r="N46" i="1"/>
  <c r="N57" i="1"/>
  <c r="N569" i="1"/>
  <c r="N747" i="1"/>
  <c r="N596" i="1"/>
  <c r="N972" i="1"/>
  <c r="N613" i="1"/>
  <c r="N637" i="1"/>
  <c r="N334" i="1"/>
  <c r="N478" i="1"/>
  <c r="N506" i="1"/>
  <c r="N804" i="1"/>
  <c r="N973" i="1"/>
  <c r="N367" i="1"/>
  <c r="N255" i="1"/>
  <c r="N386" i="1"/>
  <c r="N496" i="1"/>
  <c r="N59" i="1"/>
  <c r="N94" i="1"/>
  <c r="N300" i="1"/>
  <c r="N885" i="1"/>
  <c r="N442" i="1"/>
  <c r="N227" i="1"/>
  <c r="N149" i="1"/>
  <c r="N157" i="1"/>
  <c r="N694" i="1"/>
  <c r="N581" i="1"/>
  <c r="N642" i="1"/>
  <c r="N614" i="1"/>
  <c r="N665" i="1"/>
  <c r="N570" i="1"/>
  <c r="N738" i="1"/>
  <c r="N597" i="1"/>
  <c r="N60" i="1"/>
  <c r="N443" i="1"/>
  <c r="N288" i="1"/>
  <c r="N376" i="1"/>
  <c r="N33" i="1"/>
  <c r="N643" i="1"/>
  <c r="N48" i="1"/>
  <c r="N517" i="1"/>
  <c r="N571" i="1"/>
  <c r="N818" i="1"/>
  <c r="N158" i="1"/>
  <c r="N486" i="1"/>
  <c r="N819" i="1"/>
  <c r="N814" i="1"/>
  <c r="N222" i="1"/>
  <c r="N444" i="1"/>
  <c r="N468" i="1"/>
  <c r="N933" i="1"/>
  <c r="N159" i="1"/>
  <c r="N447" i="1"/>
  <c r="N75" i="1"/>
  <c r="N160" i="1"/>
  <c r="N86" i="1"/>
  <c r="N788" i="1"/>
  <c r="N165" i="1"/>
  <c r="N805" i="1"/>
  <c r="N289" i="1"/>
  <c r="N458" i="1"/>
  <c r="N290" i="1"/>
  <c r="N848" i="1"/>
  <c r="N402" i="1"/>
  <c r="N487" i="1"/>
  <c r="N389" i="1"/>
  <c r="N204" i="1"/>
  <c r="N256" i="1"/>
  <c r="N615" i="1"/>
  <c r="N61" i="1"/>
  <c r="N121" i="1"/>
  <c r="N104" i="1"/>
  <c r="N789" i="1"/>
  <c r="N716" i="1"/>
  <c r="N62" i="1"/>
  <c r="N826" i="1"/>
  <c r="N684" i="1"/>
  <c r="N790" i="1"/>
  <c r="N890" i="1"/>
  <c r="N518" i="1"/>
  <c r="N723" i="1"/>
  <c r="N974" i="1"/>
  <c r="N795" i="1"/>
  <c r="N479" i="1"/>
  <c r="N112" i="1"/>
  <c r="N572" i="1"/>
  <c r="N677" i="1"/>
  <c r="N95" i="1"/>
  <c r="N265" i="1"/>
  <c r="N105" i="1"/>
  <c r="N903" i="1"/>
  <c r="N122" i="1"/>
  <c r="N717" i="1"/>
  <c r="N34" i="1"/>
  <c r="N904" i="1"/>
  <c r="N96" i="1"/>
  <c r="N759" i="1"/>
  <c r="N97" i="1"/>
  <c r="N616" i="1"/>
  <c r="N302" i="1"/>
  <c r="N666" i="1"/>
  <c r="N206" i="1"/>
  <c r="N335" i="1"/>
  <c r="N179" i="1"/>
  <c r="N678" i="1"/>
  <c r="N836" i="1"/>
  <c r="N377" i="1"/>
  <c r="N573" i="1"/>
  <c r="N63" i="1"/>
  <c r="N704" i="1"/>
  <c r="N644" i="1"/>
  <c r="N424" i="1"/>
  <c r="N915" i="1"/>
  <c r="N617" i="1"/>
  <c r="N278" i="1"/>
  <c r="N291" i="1"/>
  <c r="N279" i="1"/>
  <c r="N266" i="1"/>
  <c r="N98" i="1"/>
  <c r="N304" i="1"/>
  <c r="N739" i="1"/>
  <c r="N740" i="1"/>
  <c r="N892" i="1"/>
  <c r="N600" i="1"/>
  <c r="N582" i="1"/>
  <c r="N425" i="1"/>
  <c r="N123" i="1"/>
  <c r="N207" i="1"/>
  <c r="N685" i="1"/>
  <c r="N827" i="1"/>
  <c r="N208" i="1"/>
  <c r="N193" i="1"/>
  <c r="N390" i="1"/>
  <c r="N445" i="1"/>
  <c r="N469" i="1"/>
  <c r="N305" i="1"/>
  <c r="N404" i="1"/>
  <c r="N519" i="1"/>
  <c r="N488" i="1"/>
  <c r="N106" i="1"/>
  <c r="N448" i="1"/>
  <c r="N49" i="1"/>
  <c r="N64" i="1"/>
  <c r="N188" i="1"/>
  <c r="N353" i="1"/>
  <c r="N960" i="1"/>
  <c r="N271" i="1"/>
  <c r="N686" i="1"/>
  <c r="N520" i="1"/>
  <c r="N470" i="1"/>
  <c r="N449" i="1"/>
  <c r="N630" i="1"/>
  <c r="N533" i="1"/>
  <c r="N189" i="1"/>
  <c r="N497" i="1"/>
  <c r="N272" i="1"/>
  <c r="N99" i="1"/>
  <c r="N498" i="1"/>
  <c r="N280" i="1"/>
  <c r="N267" i="1"/>
  <c r="N697" i="1"/>
  <c r="N348" i="1"/>
  <c r="N471" i="1"/>
  <c r="N583" i="1"/>
  <c r="N844" i="1"/>
  <c r="N354" i="1"/>
  <c r="N893" i="1"/>
  <c r="N541" i="1"/>
  <c r="N695" i="1"/>
  <c r="N306" i="1"/>
  <c r="N679" i="1"/>
  <c r="N228" i="1"/>
  <c r="N645" i="1"/>
  <c r="N741" i="1"/>
  <c r="N150" i="1"/>
  <c r="N534" i="1"/>
  <c r="N151" i="1"/>
  <c r="N542" i="1"/>
  <c r="N796" i="1"/>
  <c r="N180" i="1"/>
  <c r="N307" i="1"/>
  <c r="N233" i="1"/>
  <c r="N849" i="1"/>
  <c r="N308" i="1"/>
  <c r="N705" i="1"/>
  <c r="N292" i="1"/>
  <c r="N35" i="1"/>
  <c r="N162" i="1"/>
  <c r="N118" i="1"/>
  <c r="N724" i="1"/>
  <c r="N742" i="1"/>
  <c r="N130" i="1"/>
  <c r="N472" i="1"/>
  <c r="N961" i="1"/>
  <c r="N107" i="1"/>
  <c r="N508" i="1"/>
  <c r="N293" i="1"/>
  <c r="N124" i="1"/>
  <c r="N777" i="1"/>
  <c r="N975" i="1"/>
  <c r="N139" i="1"/>
  <c r="N461" i="1"/>
  <c r="N36" i="1"/>
  <c r="N247" i="1"/>
  <c r="N962" i="1"/>
  <c r="N211" i="1"/>
  <c r="N543" i="1"/>
  <c r="N234" i="1"/>
  <c r="N50" i="1"/>
  <c r="N828" i="1"/>
  <c r="N669" i="1"/>
  <c r="N268" i="1"/>
  <c r="N535" i="1"/>
  <c r="N108" i="1"/>
  <c r="N37" i="1"/>
  <c r="N273" i="1"/>
  <c r="N808" i="1"/>
  <c r="N436" i="1"/>
  <c r="N258" i="1"/>
  <c r="N778" i="1"/>
  <c r="N779" i="1"/>
  <c r="N405" i="1"/>
  <c r="N368" i="1"/>
  <c r="N944" i="1"/>
  <c r="N391" i="1"/>
  <c r="N798" i="1"/>
  <c r="N65" i="1"/>
  <c r="N656" i="1"/>
  <c r="N259" i="1"/>
  <c r="N437" i="1"/>
  <c r="N554" i="1"/>
  <c r="N743" i="1"/>
  <c r="N235" i="1"/>
  <c r="N760" i="1"/>
  <c r="N564" i="1"/>
  <c r="N521" i="1"/>
  <c r="N489" i="1"/>
  <c r="N780" i="1"/>
  <c r="N378" i="1"/>
  <c r="N850" i="1"/>
  <c r="N601" i="1"/>
  <c r="N977" i="1"/>
  <c r="N181" i="1"/>
  <c r="N544" i="1"/>
  <c r="N820" i="1"/>
  <c r="N536" i="1"/>
  <c r="N522" i="1"/>
  <c r="N274" i="1"/>
  <c r="N294" i="1"/>
  <c r="N356" i="1"/>
  <c r="N38" i="1"/>
  <c r="N336" i="1"/>
  <c r="N761" i="1"/>
  <c r="N978" i="1"/>
  <c r="N499" i="1"/>
  <c r="N523" i="1"/>
  <c r="N851" i="1"/>
  <c r="N799" i="1"/>
  <c r="N295" i="1"/>
  <c r="N473" i="1"/>
  <c r="N275" i="1"/>
  <c r="N659" i="1"/>
  <c r="N239" i="1"/>
  <c r="N584" i="1"/>
  <c r="N152" i="1"/>
  <c r="N131" i="1"/>
  <c r="N229" i="1"/>
  <c r="N153" i="1"/>
  <c r="N392" i="1"/>
  <c r="N660" i="1"/>
  <c r="N212" i="1"/>
  <c r="N897" i="1"/>
  <c r="N446" i="1"/>
  <c r="N463" i="1"/>
  <c r="N296" i="1"/>
  <c r="N869" i="1"/>
  <c r="N450" i="1"/>
  <c r="N427" i="1"/>
  <c r="N650" i="1"/>
  <c r="N671" i="1"/>
  <c r="N845" i="1"/>
  <c r="N852" i="1"/>
  <c r="N870" i="1"/>
  <c r="N224" i="1"/>
  <c r="N524" i="1"/>
  <c r="N661" i="1"/>
  <c r="N409" i="1"/>
  <c r="N905" i="1"/>
  <c r="N525" i="1"/>
  <c r="N781" i="1"/>
  <c r="N168" i="1"/>
  <c r="N829" i="1"/>
  <c r="N963" i="1"/>
  <c r="N248" i="1"/>
  <c r="N725" i="1"/>
  <c r="N58" i="1"/>
  <c r="N428" i="1"/>
  <c r="N871" i="1"/>
  <c r="N748" i="1"/>
  <c r="N260" i="1"/>
  <c r="N490" i="1"/>
  <c r="N438" i="1"/>
  <c r="N687" i="1"/>
  <c r="N236" i="1"/>
  <c r="N770" i="1"/>
  <c r="N718" i="1"/>
  <c r="N809" i="1"/>
  <c r="N394" i="1"/>
  <c r="N132" i="1"/>
  <c r="N830" i="1"/>
  <c r="N39" i="1"/>
  <c r="N182" i="1"/>
  <c r="N349" i="1"/>
  <c r="N40" i="1"/>
  <c r="N815" i="1"/>
  <c r="N379" i="1"/>
  <c r="N76" i="1"/>
  <c r="N66" i="1"/>
  <c r="N262" i="1"/>
  <c r="N979" i="1"/>
  <c r="N565" i="1"/>
  <c r="N230" i="1"/>
  <c r="N411" i="1"/>
  <c r="N480" i="1"/>
  <c r="N215" i="1"/>
  <c r="N481" i="1"/>
  <c r="N858" i="1"/>
  <c r="N688" i="1"/>
  <c r="N237" i="1"/>
  <c r="N585" i="1"/>
  <c r="N140" i="1"/>
  <c r="N195" i="1"/>
  <c r="N574" i="1"/>
  <c r="N216" i="1"/>
  <c r="N369" i="1"/>
  <c r="N125" i="1"/>
  <c r="N154" i="1"/>
  <c r="N119" i="1"/>
  <c r="N217" i="1"/>
  <c r="N52" i="1"/>
  <c r="N726" i="1"/>
  <c r="N225" i="1"/>
  <c r="N218" i="1"/>
  <c r="N634" i="1"/>
  <c r="N749" i="1"/>
  <c r="N964" i="1"/>
  <c r="N859" i="1"/>
  <c r="N810" i="1"/>
  <c r="N537" i="1"/>
  <c r="N673" i="1"/>
  <c r="N170" i="1"/>
  <c r="N527" i="1"/>
  <c r="N762" i="1"/>
  <c r="N918" i="1"/>
  <c r="N792" i="1"/>
  <c r="N745" i="1"/>
  <c r="N816" i="1"/>
  <c r="N41" i="1"/>
  <c r="N602" i="1"/>
  <c r="N965" i="1"/>
  <c r="N263" i="1"/>
  <c r="N566" i="1"/>
  <c r="N264" i="1"/>
  <c r="N439" i="1"/>
  <c r="N619" i="1"/>
  <c r="N638" i="1"/>
  <c r="N945" i="1"/>
  <c r="N620" i="1"/>
  <c r="N750" i="1"/>
  <c r="N380" i="1"/>
  <c r="N636" i="1"/>
  <c r="N853" i="1"/>
  <c r="N545" i="1"/>
  <c r="N109" i="1"/>
  <c r="N281" i="1"/>
  <c r="N282" i="1"/>
  <c r="N310" i="1"/>
  <c r="N337" i="1"/>
  <c r="N575" i="1"/>
  <c r="N874" i="1"/>
  <c r="N120" i="1"/>
  <c r="N500" i="1"/>
  <c r="N429" i="1"/>
  <c r="N898" i="1"/>
  <c r="N876" i="1"/>
  <c r="N751" i="1"/>
  <c r="N134" i="1"/>
  <c r="N276" i="1"/>
  <c r="N312" i="1"/>
  <c r="N135" i="1"/>
  <c r="N621" i="1"/>
  <c r="N980" i="1"/>
  <c r="N646" i="1"/>
  <c r="N501" i="1"/>
  <c r="N171" i="1"/>
  <c r="N475" i="1"/>
  <c r="N700" i="1"/>
  <c r="N680" i="1"/>
  <c r="N812" i="1"/>
  <c r="N113" i="1"/>
  <c r="N690" i="1"/>
  <c r="N528" i="1"/>
  <c r="N763" i="1"/>
  <c r="N413" i="1"/>
  <c r="N966" i="1"/>
  <c r="N946" i="1"/>
  <c r="N53" i="1"/>
  <c r="N546" i="1"/>
  <c r="N967" i="1"/>
  <c r="N651" i="1"/>
  <c r="N860" i="1"/>
  <c r="N465" i="1"/>
  <c r="N42" i="1"/>
  <c r="N502" i="1"/>
  <c r="N451" i="1"/>
  <c r="N503" i="1"/>
  <c r="N813" i="1"/>
  <c r="N155" i="1"/>
  <c r="N493" i="1"/>
  <c r="N674" i="1"/>
  <c r="N25" i="1"/>
  <c r="N12" i="1"/>
  <c r="N342" i="1"/>
  <c r="N926" i="1"/>
  <c r="N746" i="1"/>
  <c r="N54" i="1"/>
  <c r="N385" i="1"/>
  <c r="N8" i="1"/>
  <c r="N77" i="1"/>
  <c r="N948" i="1"/>
  <c r="N13" i="1"/>
  <c r="N67" i="1"/>
  <c r="N136" i="1"/>
  <c r="N362" i="1"/>
  <c r="N730" i="1"/>
  <c r="N1000" i="1"/>
  <c r="N26" i="1"/>
  <c r="N141" i="1"/>
  <c r="N529" i="1"/>
  <c r="N27" i="1"/>
  <c r="N982" i="1"/>
  <c r="N454" i="1"/>
  <c r="N115" i="1"/>
  <c r="N969" i="1"/>
  <c r="N2" i="1"/>
  <c r="N200" i="1"/>
  <c r="N253" i="1"/>
  <c r="N989" i="1"/>
  <c r="N586" i="1"/>
  <c r="N283" i="1"/>
  <c r="N44" i="1"/>
  <c r="N878" i="1"/>
  <c r="N343" i="1"/>
  <c r="N709" i="1"/>
  <c r="N456" i="1"/>
  <c r="N285" i="1"/>
  <c r="N190" i="1"/>
  <c r="N416" i="1"/>
  <c r="N363" i="1"/>
  <c r="N787" i="1"/>
  <c r="N710" i="1"/>
  <c r="N552" i="1"/>
  <c r="N55" i="1"/>
  <c r="N5" i="1"/>
  <c r="N84" i="1"/>
  <c r="N344" i="1"/>
  <c r="N833" i="1"/>
  <c r="N22" i="1"/>
  <c r="N735" i="1"/>
  <c r="N994" i="1"/>
  <c r="N90" i="1"/>
  <c r="N286" i="1"/>
  <c r="N683" i="1"/>
  <c r="N10" i="1"/>
  <c r="N91" i="1"/>
  <c r="N627" i="1"/>
  <c r="N606" i="1"/>
  <c r="N20" i="1"/>
  <c r="N45" i="1"/>
  <c r="N548" i="1"/>
  <c r="N879" i="1"/>
  <c r="N990" i="1"/>
  <c r="N183" i="1"/>
  <c r="N997" i="1"/>
  <c r="N47" i="1"/>
  <c r="N835" i="1"/>
  <c r="N417" i="1"/>
  <c r="N352" i="1"/>
  <c r="N731" i="1"/>
  <c r="N3" i="1"/>
  <c r="N246" i="1"/>
  <c r="N562" i="1"/>
  <c r="N598" i="1"/>
  <c r="N142" i="1"/>
  <c r="N772" i="1"/>
  <c r="N301" i="1"/>
  <c r="N954" i="1"/>
  <c r="N855" i="1"/>
  <c r="N507" i="1"/>
  <c r="N910" i="1"/>
  <c r="N400" i="1"/>
  <c r="N401" i="1"/>
  <c r="N588" i="1"/>
  <c r="N806" i="1"/>
  <c r="N807" i="1"/>
  <c r="N117" i="1"/>
  <c r="N325" i="1"/>
  <c r="N628" i="1"/>
  <c r="N205" i="1"/>
  <c r="N865" i="1"/>
  <c r="N166" i="1"/>
  <c r="N459" i="1"/>
  <c r="N346" i="1"/>
  <c r="N880" i="1"/>
  <c r="N23" i="1"/>
  <c r="N423" i="1"/>
  <c r="N143" i="1"/>
  <c r="N891" i="1"/>
  <c r="N629" i="1"/>
  <c r="N161" i="1"/>
  <c r="N303" i="1"/>
  <c r="N326" i="1"/>
  <c r="N856" i="1"/>
  <c r="N29" i="1"/>
  <c r="N549" i="1"/>
  <c r="N313" i="1"/>
  <c r="N194" i="1"/>
  <c r="N938" i="1"/>
  <c r="N383" i="1"/>
  <c r="N6" i="1"/>
  <c r="N137" i="1"/>
  <c r="N28" i="1"/>
  <c r="N589" i="1"/>
  <c r="N9" i="1"/>
  <c r="N927" i="1"/>
  <c r="N655" i="1"/>
  <c r="N257" i="1"/>
  <c r="N209" i="1"/>
  <c r="N563" i="1"/>
  <c r="N87" i="1"/>
  <c r="N538" i="1"/>
  <c r="N129" i="1"/>
  <c r="N939" i="1"/>
  <c r="N998" i="1"/>
  <c r="N894" i="1"/>
  <c r="N31" i="1"/>
  <c r="N916" i="1"/>
  <c r="N32" i="1"/>
  <c r="N895" i="1"/>
  <c r="N631" i="1"/>
  <c r="N667" i="1"/>
  <c r="N68" i="1"/>
  <c r="N976" i="1"/>
  <c r="N668" i="1"/>
  <c r="N940" i="1"/>
  <c r="N509" i="1"/>
  <c r="N797" i="1"/>
  <c r="N896" i="1"/>
  <c r="N881" i="1"/>
  <c r="N706" i="1"/>
  <c r="N985" i="1"/>
  <c r="N866" i="1"/>
  <c r="N956" i="1"/>
  <c r="N210" i="1"/>
  <c r="N632" i="1"/>
  <c r="N88" i="1"/>
  <c r="N92" i="1"/>
  <c r="N314" i="1"/>
  <c r="N555" i="1"/>
  <c r="N901" i="1"/>
  <c r="N657" i="1"/>
  <c r="N698" i="1"/>
  <c r="N69" i="1"/>
  <c r="N89" i="1"/>
  <c r="N867" i="1"/>
  <c r="N167" i="1"/>
  <c r="N670" i="1"/>
  <c r="N699" i="1"/>
  <c r="N406" i="1"/>
  <c r="N868" i="1"/>
  <c r="N309" i="1"/>
  <c r="N223" i="1"/>
  <c r="N462" i="1"/>
  <c r="N1001" i="1"/>
  <c r="N407" i="1"/>
  <c r="N744" i="1"/>
  <c r="N11" i="1"/>
  <c r="N261" i="1"/>
  <c r="N526" i="1"/>
  <c r="N491" i="1"/>
  <c r="N510" i="1"/>
  <c r="N51" i="1"/>
  <c r="N393" i="1"/>
  <c r="N732" i="1"/>
  <c r="N14" i="1"/>
  <c r="N213" i="1"/>
  <c r="N662" i="1"/>
  <c r="N78" i="1"/>
  <c r="N214" i="1"/>
  <c r="N410" i="1"/>
  <c r="N169" i="1"/>
  <c r="N672" i="1"/>
  <c r="N315" i="1"/>
  <c r="N7" i="1"/>
  <c r="N70" i="1"/>
  <c r="N19" i="1"/>
  <c r="N79" i="1"/>
  <c r="N492" i="1"/>
  <c r="N474" i="1"/>
  <c r="N4" i="1"/>
  <c r="N635" i="1"/>
  <c r="N30" i="1"/>
  <c r="N249" i="1"/>
  <c r="N556" i="1"/>
  <c r="N591" i="1"/>
  <c r="N872" i="1"/>
  <c r="N196" i="1"/>
  <c r="N464" i="1"/>
  <c r="N80" i="1"/>
  <c r="N15" i="1"/>
  <c r="N773" i="1"/>
  <c r="N16" i="1"/>
  <c r="N395" i="1"/>
  <c r="N592" i="1"/>
  <c r="N357" i="1"/>
  <c r="N418" i="1"/>
  <c r="N793" i="1"/>
  <c r="N250" i="1"/>
  <c r="N707" i="1"/>
  <c r="N133" i="1"/>
  <c r="N618" i="1"/>
  <c r="N919" i="1"/>
  <c r="N873" i="1"/>
  <c r="N24" i="1"/>
  <c r="N902" i="1"/>
  <c r="N811" i="1"/>
  <c r="N21" i="1"/>
  <c r="N319" i="1"/>
  <c r="N875" i="1"/>
  <c r="N17" i="1"/>
  <c r="N316" i="1"/>
  <c r="N311" i="1"/>
  <c r="N986" i="1"/>
  <c r="N912" i="1"/>
  <c r="N689" i="1"/>
  <c r="N71" i="1"/>
  <c r="N419" i="1"/>
  <c r="N999" i="1"/>
  <c r="N800" i="1"/>
  <c r="N320" i="1"/>
  <c r="N138" i="1"/>
  <c r="N782" i="1"/>
  <c r="N430" i="1"/>
  <c r="N172" i="1"/>
  <c r="N414" i="1"/>
  <c r="N415" i="1"/>
  <c r="N18" i="1"/>
  <c r="N72" i="1"/>
  <c r="N993" i="1"/>
  <c r="N996" i="1"/>
  <c r="N906" i="1"/>
  <c r="B14" i="2" s="1"/>
  <c r="M846" i="1"/>
  <c r="M298" i="1"/>
  <c r="M701" i="1"/>
  <c r="M327" i="1"/>
  <c r="M861" i="1"/>
  <c r="M639" i="1"/>
  <c r="M622" i="1"/>
  <c r="M764" i="1"/>
  <c r="M877" i="1"/>
  <c r="M754" i="1"/>
  <c r="M511" i="1"/>
  <c r="M173" i="1"/>
  <c r="M240" i="1"/>
  <c r="M482" i="1"/>
  <c r="M557" i="1"/>
  <c r="M398" i="1"/>
  <c r="M328" i="1"/>
  <c r="M396" i="1"/>
  <c r="M184" i="1"/>
  <c r="M547" i="1"/>
  <c r="M593" i="1"/>
  <c r="M771" i="1"/>
  <c r="M359" i="1"/>
  <c r="M909" i="1"/>
  <c r="M708" i="1"/>
  <c r="M284" i="1"/>
  <c r="M752" i="1"/>
  <c r="M364" i="1"/>
  <c r="M483" i="1"/>
  <c r="M899" i="1"/>
  <c r="M244" i="1"/>
  <c r="M197" i="1"/>
  <c r="M512" i="1"/>
  <c r="M317" i="1"/>
  <c r="M231" i="1"/>
  <c r="M981" i="1"/>
  <c r="M587" i="1"/>
  <c r="M882" i="1"/>
  <c r="M351" i="1"/>
  <c r="M920" i="1"/>
  <c r="M934" i="1"/>
  <c r="M728" i="1"/>
  <c r="M987" i="1"/>
  <c r="M382" i="1"/>
  <c r="M331" i="1"/>
  <c r="M983" i="1"/>
  <c r="M530" i="1"/>
  <c r="M785" i="1"/>
  <c r="M923" i="1"/>
  <c r="M952" i="1"/>
  <c r="M287" i="1"/>
  <c r="M387" i="1"/>
  <c r="M984" i="1"/>
  <c r="M297" i="1"/>
  <c r="M953" i="1"/>
  <c r="M345" i="1"/>
  <c r="M360" i="1"/>
  <c r="M921" i="1"/>
  <c r="M561" i="1"/>
  <c r="M765" i="1"/>
  <c r="M388" i="1"/>
  <c r="M269" i="1"/>
  <c r="M729" i="1"/>
  <c r="M270" i="1"/>
  <c r="M219" i="1"/>
  <c r="M578" i="1"/>
  <c r="M192" i="1"/>
  <c r="M862" i="1"/>
  <c r="M821" i="1"/>
  <c r="M766" i="1"/>
  <c r="M900" i="1"/>
  <c r="M599" i="1"/>
  <c r="M955" i="1"/>
  <c r="M232" i="1"/>
  <c r="M863" i="1"/>
  <c r="M460" i="1"/>
  <c r="M241" i="1"/>
  <c r="M607" i="1"/>
  <c r="M403" i="1"/>
  <c r="M361" i="1"/>
  <c r="M886" i="1"/>
  <c r="M822" i="1"/>
  <c r="M924" i="1"/>
  <c r="M783" i="1"/>
  <c r="M604" i="1"/>
  <c r="M837" i="1"/>
  <c r="M857" i="1"/>
  <c r="M753" i="1"/>
  <c r="M727" i="1"/>
  <c r="M755" i="1"/>
  <c r="M329" i="1"/>
  <c r="M340" i="1"/>
  <c r="M242" i="1"/>
  <c r="M144" i="1"/>
  <c r="M988" i="1"/>
  <c r="M605" i="1"/>
  <c r="M791" i="1"/>
  <c r="M991" i="1"/>
  <c r="M381" i="1"/>
  <c r="M370" i="1"/>
  <c r="M887" i="1"/>
  <c r="M452" i="1"/>
  <c r="M341" i="1"/>
  <c r="M756" i="1"/>
  <c r="M426" i="1"/>
  <c r="M947" i="1"/>
  <c r="M355" i="1"/>
  <c r="M942" i="1"/>
  <c r="M838" i="1"/>
  <c r="M590" i="1"/>
  <c r="M992" i="1"/>
  <c r="M330" i="1"/>
  <c r="M539" i="1"/>
  <c r="M784" i="1"/>
  <c r="M658" i="1"/>
  <c r="M185" i="1"/>
  <c r="M917" i="1"/>
  <c r="M839" i="1"/>
  <c r="M408" i="1"/>
  <c r="M757" i="1"/>
  <c r="M889" i="1"/>
  <c r="M719" i="1"/>
  <c r="M675" i="1"/>
  <c r="M603" i="1"/>
  <c r="M576" i="1"/>
  <c r="M907" i="1"/>
  <c r="M440" i="1"/>
  <c r="M801" i="1"/>
  <c r="M941" i="1"/>
  <c r="M908" i="1"/>
  <c r="M925" i="1"/>
  <c r="M883" i="1"/>
  <c r="M633" i="1"/>
  <c r="M957" i="1"/>
  <c r="M371" i="1"/>
  <c r="M338" i="1"/>
  <c r="M681" i="1"/>
  <c r="M995" i="1"/>
  <c r="M652" i="1"/>
  <c r="M922" i="1"/>
  <c r="M318" i="1"/>
  <c r="M453" i="1"/>
  <c r="M831" i="1"/>
  <c r="M888" i="1"/>
  <c r="M412" i="1"/>
  <c r="M145" i="1"/>
  <c r="M911" i="1"/>
  <c r="M608" i="1"/>
  <c r="M251" i="1"/>
  <c r="M358" i="1"/>
  <c r="M339" i="1"/>
  <c r="M332" i="1"/>
  <c r="M174" i="1"/>
  <c r="M577" i="1"/>
  <c r="M913" i="1"/>
  <c r="M832" i="1"/>
  <c r="M663" i="1"/>
  <c r="M372" i="1"/>
  <c r="M299" i="1"/>
  <c r="M114" i="1"/>
  <c r="M146" i="1"/>
  <c r="M928" i="1"/>
  <c r="M786" i="1"/>
  <c r="M935" i="1"/>
  <c r="M623" i="1"/>
  <c r="M186" i="1"/>
  <c r="M823" i="1"/>
  <c r="M56" i="1"/>
  <c r="M81" i="1"/>
  <c r="M720" i="1"/>
  <c r="M384" i="1"/>
  <c r="M252" i="1"/>
  <c r="M420" i="1"/>
  <c r="M441" i="1"/>
  <c r="M175" i="1"/>
  <c r="M702" i="1"/>
  <c r="M647" i="1"/>
  <c r="M767" i="1"/>
  <c r="M431" i="1"/>
  <c r="M243" i="1"/>
  <c r="M558" i="1"/>
  <c r="M640" i="1"/>
  <c r="M624" i="1"/>
  <c r="M484" i="1"/>
  <c r="M758" i="1"/>
  <c r="M198" i="1"/>
  <c r="M321" i="1"/>
  <c r="M840" i="1"/>
  <c r="M126" i="1"/>
  <c r="M802" i="1"/>
  <c r="M774" i="1"/>
  <c r="M794" i="1"/>
  <c r="M682" i="1"/>
  <c r="M949" i="1"/>
  <c r="M711" i="1"/>
  <c r="M531" i="1"/>
  <c r="M43" i="1"/>
  <c r="M220" i="1"/>
  <c r="M803" i="1"/>
  <c r="M579" i="1"/>
  <c r="M559" i="1"/>
  <c r="M476" i="1"/>
  <c r="M504" i="1"/>
  <c r="M350" i="1"/>
  <c r="M550" i="1"/>
  <c r="M958" i="1"/>
  <c r="M373" i="1"/>
  <c r="M841" i="1"/>
  <c r="M943" i="1"/>
  <c r="M176" i="1"/>
  <c r="M333" i="1"/>
  <c r="M365" i="1"/>
  <c r="M768" i="1"/>
  <c r="M147" i="1"/>
  <c r="M817" i="1"/>
  <c r="M824" i="1"/>
  <c r="M712" i="1"/>
  <c r="M968" i="1"/>
  <c r="M432" i="1"/>
  <c r="M721" i="1"/>
  <c r="M397" i="1"/>
  <c r="M854" i="1"/>
  <c r="M676" i="1"/>
  <c r="M641" i="1"/>
  <c r="M433" i="1"/>
  <c r="M929" i="1"/>
  <c r="M100" i="1"/>
  <c r="M374" i="1"/>
  <c r="M101" i="1"/>
  <c r="M713" i="1"/>
  <c r="M421" i="1"/>
  <c r="M199" i="1"/>
  <c r="M696" i="1"/>
  <c r="M580" i="1"/>
  <c r="M505" i="1"/>
  <c r="M970" i="1"/>
  <c r="M540" i="1"/>
  <c r="M201" i="1"/>
  <c r="M127" i="1"/>
  <c r="M163" i="1"/>
  <c r="M567" i="1"/>
  <c r="M847" i="1"/>
  <c r="M399" i="1"/>
  <c r="M691" i="1"/>
  <c r="M366" i="1"/>
  <c r="M455" i="1"/>
  <c r="M648" i="1"/>
  <c r="M551" i="1"/>
  <c r="M733" i="1"/>
  <c r="M625" i="1"/>
  <c r="M102" i="1"/>
  <c r="M177" i="1"/>
  <c r="M930" i="1"/>
  <c r="M649" i="1"/>
  <c r="M156" i="1"/>
  <c r="M226" i="1"/>
  <c r="M609" i="1"/>
  <c r="M110" i="1"/>
  <c r="M692" i="1"/>
  <c r="M664" i="1"/>
  <c r="M347" i="1"/>
  <c r="M864" i="1"/>
  <c r="M714" i="1"/>
  <c r="M111" i="1"/>
  <c r="M82" i="1"/>
  <c r="M693" i="1"/>
  <c r="M322" i="1"/>
  <c r="M116" i="1"/>
  <c r="M626" i="1"/>
  <c r="M83" i="1"/>
  <c r="M532" i="1"/>
  <c r="M959" i="1"/>
  <c r="M513" i="1"/>
  <c r="M825" i="1"/>
  <c r="M842" i="1"/>
  <c r="M884" i="1"/>
  <c r="M375" i="1"/>
  <c r="M103" i="1"/>
  <c r="M936" i="1"/>
  <c r="M434" i="1"/>
  <c r="M769" i="1"/>
  <c r="M722" i="1"/>
  <c r="M514" i="1"/>
  <c r="M931" i="1"/>
  <c r="M560" i="1"/>
  <c r="M238" i="1"/>
  <c r="M950" i="1"/>
  <c r="M221" i="1"/>
  <c r="M971" i="1"/>
  <c r="M202" i="1"/>
  <c r="M178" i="1"/>
  <c r="M775" i="1"/>
  <c r="M610" i="1"/>
  <c r="M245" i="1"/>
  <c r="M653" i="1"/>
  <c r="M703" i="1"/>
  <c r="M515" i="1"/>
  <c r="M73" i="1"/>
  <c r="M203" i="1"/>
  <c r="M128" i="1"/>
  <c r="M494" i="1"/>
  <c r="M323" i="1"/>
  <c r="M594" i="1"/>
  <c r="M951" i="1"/>
  <c r="M932" i="1"/>
  <c r="M734" i="1"/>
  <c r="M435" i="1"/>
  <c r="M843" i="1"/>
  <c r="M187" i="1"/>
  <c r="M611" i="1"/>
  <c r="M715" i="1"/>
  <c r="M74" i="1"/>
  <c r="M568" i="1"/>
  <c r="M776" i="1"/>
  <c r="M914" i="1"/>
  <c r="M93" i="1"/>
  <c r="M85" i="1"/>
  <c r="M834" i="1"/>
  <c r="M937" i="1"/>
  <c r="M466" i="1"/>
  <c r="M422" i="1"/>
  <c r="M736" i="1"/>
  <c r="M737" i="1"/>
  <c r="M516" i="1"/>
  <c r="M324" i="1"/>
  <c r="M477" i="1"/>
  <c r="M485" i="1"/>
  <c r="M254" i="1"/>
  <c r="M277" i="1"/>
  <c r="M164" i="1"/>
  <c r="M612" i="1"/>
  <c r="M654" i="1"/>
  <c r="M457" i="1"/>
  <c r="M595" i="1"/>
  <c r="M148" i="1"/>
  <c r="M467" i="1"/>
  <c r="M191" i="1"/>
  <c r="M553" i="1"/>
  <c r="M495" i="1"/>
  <c r="M46" i="1"/>
  <c r="M57" i="1"/>
  <c r="M569" i="1"/>
  <c r="M747" i="1"/>
  <c r="M596" i="1"/>
  <c r="M972" i="1"/>
  <c r="M613" i="1"/>
  <c r="M637" i="1"/>
  <c r="M334" i="1"/>
  <c r="M478" i="1"/>
  <c r="M506" i="1"/>
  <c r="M804" i="1"/>
  <c r="M973" i="1"/>
  <c r="M367" i="1"/>
  <c r="M255" i="1"/>
  <c r="M386" i="1"/>
  <c r="M496" i="1"/>
  <c r="M59" i="1"/>
  <c r="M94" i="1"/>
  <c r="M300" i="1"/>
  <c r="M885" i="1"/>
  <c r="M442" i="1"/>
  <c r="M227" i="1"/>
  <c r="M149" i="1"/>
  <c r="M157" i="1"/>
  <c r="M694" i="1"/>
  <c r="M581" i="1"/>
  <c r="M642" i="1"/>
  <c r="M614" i="1"/>
  <c r="M665" i="1"/>
  <c r="M570" i="1"/>
  <c r="M738" i="1"/>
  <c r="M597" i="1"/>
  <c r="M60" i="1"/>
  <c r="M443" i="1"/>
  <c r="M288" i="1"/>
  <c r="M376" i="1"/>
  <c r="M33" i="1"/>
  <c r="M643" i="1"/>
  <c r="M48" i="1"/>
  <c r="M517" i="1"/>
  <c r="M571" i="1"/>
  <c r="M818" i="1"/>
  <c r="M158" i="1"/>
  <c r="M486" i="1"/>
  <c r="M819" i="1"/>
  <c r="M814" i="1"/>
  <c r="M222" i="1"/>
  <c r="M444" i="1"/>
  <c r="M468" i="1"/>
  <c r="M933" i="1"/>
  <c r="M159" i="1"/>
  <c r="M447" i="1"/>
  <c r="M75" i="1"/>
  <c r="M160" i="1"/>
  <c r="M86" i="1"/>
  <c r="M788" i="1"/>
  <c r="M165" i="1"/>
  <c r="M805" i="1"/>
  <c r="M289" i="1"/>
  <c r="M458" i="1"/>
  <c r="M290" i="1"/>
  <c r="M848" i="1"/>
  <c r="M402" i="1"/>
  <c r="M487" i="1"/>
  <c r="M389" i="1"/>
  <c r="M204" i="1"/>
  <c r="M256" i="1"/>
  <c r="M615" i="1"/>
  <c r="M61" i="1"/>
  <c r="M121" i="1"/>
  <c r="M104" i="1"/>
  <c r="M789" i="1"/>
  <c r="M716" i="1"/>
  <c r="M62" i="1"/>
  <c r="M826" i="1"/>
  <c r="M684" i="1"/>
  <c r="M790" i="1"/>
  <c r="M890" i="1"/>
  <c r="M518" i="1"/>
  <c r="M723" i="1"/>
  <c r="M974" i="1"/>
  <c r="M795" i="1"/>
  <c r="M479" i="1"/>
  <c r="M112" i="1"/>
  <c r="M572" i="1"/>
  <c r="M677" i="1"/>
  <c r="M95" i="1"/>
  <c r="M265" i="1"/>
  <c r="M105" i="1"/>
  <c r="M903" i="1"/>
  <c r="M122" i="1"/>
  <c r="M717" i="1"/>
  <c r="M34" i="1"/>
  <c r="M904" i="1"/>
  <c r="M96" i="1"/>
  <c r="M759" i="1"/>
  <c r="M97" i="1"/>
  <c r="M616" i="1"/>
  <c r="M302" i="1"/>
  <c r="M666" i="1"/>
  <c r="M206" i="1"/>
  <c r="M335" i="1"/>
  <c r="M179" i="1"/>
  <c r="M678" i="1"/>
  <c r="M836" i="1"/>
  <c r="M377" i="1"/>
  <c r="M573" i="1"/>
  <c r="M63" i="1"/>
  <c r="M704" i="1"/>
  <c r="M644" i="1"/>
  <c r="M424" i="1"/>
  <c r="M915" i="1"/>
  <c r="M617" i="1"/>
  <c r="M278" i="1"/>
  <c r="M291" i="1"/>
  <c r="M279" i="1"/>
  <c r="M266" i="1"/>
  <c r="M98" i="1"/>
  <c r="M304" i="1"/>
  <c r="M739" i="1"/>
  <c r="M740" i="1"/>
  <c r="M892" i="1"/>
  <c r="M600" i="1"/>
  <c r="M582" i="1"/>
  <c r="M425" i="1"/>
  <c r="M123" i="1"/>
  <c r="M207" i="1"/>
  <c r="M685" i="1"/>
  <c r="M827" i="1"/>
  <c r="M208" i="1"/>
  <c r="M193" i="1"/>
  <c r="M390" i="1"/>
  <c r="M445" i="1"/>
  <c r="M469" i="1"/>
  <c r="M305" i="1"/>
  <c r="M404" i="1"/>
  <c r="M519" i="1"/>
  <c r="M488" i="1"/>
  <c r="M106" i="1"/>
  <c r="M448" i="1"/>
  <c r="M49" i="1"/>
  <c r="M64" i="1"/>
  <c r="M188" i="1"/>
  <c r="M353" i="1"/>
  <c r="M960" i="1"/>
  <c r="M271" i="1"/>
  <c r="M686" i="1"/>
  <c r="M520" i="1"/>
  <c r="M470" i="1"/>
  <c r="M449" i="1"/>
  <c r="M630" i="1"/>
  <c r="M533" i="1"/>
  <c r="M189" i="1"/>
  <c r="M497" i="1"/>
  <c r="M272" i="1"/>
  <c r="M99" i="1"/>
  <c r="M498" i="1"/>
  <c r="M280" i="1"/>
  <c r="M267" i="1"/>
  <c r="M697" i="1"/>
  <c r="M348" i="1"/>
  <c r="M471" i="1"/>
  <c r="M583" i="1"/>
  <c r="M844" i="1"/>
  <c r="M354" i="1"/>
  <c r="M893" i="1"/>
  <c r="M541" i="1"/>
  <c r="M695" i="1"/>
  <c r="M306" i="1"/>
  <c r="M679" i="1"/>
  <c r="M228" i="1"/>
  <c r="M645" i="1"/>
  <c r="M741" i="1"/>
  <c r="M150" i="1"/>
  <c r="M534" i="1"/>
  <c r="M151" i="1"/>
  <c r="M542" i="1"/>
  <c r="M796" i="1"/>
  <c r="M180" i="1"/>
  <c r="M307" i="1"/>
  <c r="M233" i="1"/>
  <c r="M849" i="1"/>
  <c r="M308" i="1"/>
  <c r="M705" i="1"/>
  <c r="M292" i="1"/>
  <c r="M35" i="1"/>
  <c r="M162" i="1"/>
  <c r="M118" i="1"/>
  <c r="M724" i="1"/>
  <c r="M742" i="1"/>
  <c r="M130" i="1"/>
  <c r="M472" i="1"/>
  <c r="M961" i="1"/>
  <c r="M107" i="1"/>
  <c r="M508" i="1"/>
  <c r="M293" i="1"/>
  <c r="M124" i="1"/>
  <c r="M777" i="1"/>
  <c r="M975" i="1"/>
  <c r="M139" i="1"/>
  <c r="M461" i="1"/>
  <c r="M36" i="1"/>
  <c r="M247" i="1"/>
  <c r="M962" i="1"/>
  <c r="M211" i="1"/>
  <c r="M543" i="1"/>
  <c r="M234" i="1"/>
  <c r="M50" i="1"/>
  <c r="M828" i="1"/>
  <c r="M669" i="1"/>
  <c r="M268" i="1"/>
  <c r="M535" i="1"/>
  <c r="M108" i="1"/>
  <c r="M37" i="1"/>
  <c r="M273" i="1"/>
  <c r="M808" i="1"/>
  <c r="M436" i="1"/>
  <c r="M258" i="1"/>
  <c r="M778" i="1"/>
  <c r="M779" i="1"/>
  <c r="M405" i="1"/>
  <c r="M368" i="1"/>
  <c r="M944" i="1"/>
  <c r="M391" i="1"/>
  <c r="M798" i="1"/>
  <c r="M65" i="1"/>
  <c r="M656" i="1"/>
  <c r="M259" i="1"/>
  <c r="M437" i="1"/>
  <c r="M554" i="1"/>
  <c r="M743" i="1"/>
  <c r="M235" i="1"/>
  <c r="M760" i="1"/>
  <c r="M564" i="1"/>
  <c r="M521" i="1"/>
  <c r="M489" i="1"/>
  <c r="M780" i="1"/>
  <c r="M378" i="1"/>
  <c r="M850" i="1"/>
  <c r="M601" i="1"/>
  <c r="M977" i="1"/>
  <c r="M181" i="1"/>
  <c r="M544" i="1"/>
  <c r="M820" i="1"/>
  <c r="M536" i="1"/>
  <c r="M522" i="1"/>
  <c r="M274" i="1"/>
  <c r="M294" i="1"/>
  <c r="M356" i="1"/>
  <c r="M38" i="1"/>
  <c r="M336" i="1"/>
  <c r="M761" i="1"/>
  <c r="M978" i="1"/>
  <c r="M499" i="1"/>
  <c r="M523" i="1"/>
  <c r="M851" i="1"/>
  <c r="M799" i="1"/>
  <c r="M295" i="1"/>
  <c r="M473" i="1"/>
  <c r="M275" i="1"/>
  <c r="M659" i="1"/>
  <c r="M239" i="1"/>
  <c r="M584" i="1"/>
  <c r="M152" i="1"/>
  <c r="M131" i="1"/>
  <c r="M229" i="1"/>
  <c r="M153" i="1"/>
  <c r="M392" i="1"/>
  <c r="M660" i="1"/>
  <c r="M212" i="1"/>
  <c r="M897" i="1"/>
  <c r="M446" i="1"/>
  <c r="M463" i="1"/>
  <c r="M296" i="1"/>
  <c r="M869" i="1"/>
  <c r="M450" i="1"/>
  <c r="M427" i="1"/>
  <c r="M650" i="1"/>
  <c r="M671" i="1"/>
  <c r="M845" i="1"/>
  <c r="M852" i="1"/>
  <c r="M870" i="1"/>
  <c r="M224" i="1"/>
  <c r="M524" i="1"/>
  <c r="M661" i="1"/>
  <c r="M409" i="1"/>
  <c r="M905" i="1"/>
  <c r="M525" i="1"/>
  <c r="M781" i="1"/>
  <c r="M168" i="1"/>
  <c r="M829" i="1"/>
  <c r="M963" i="1"/>
  <c r="M248" i="1"/>
  <c r="M725" i="1"/>
  <c r="M58" i="1"/>
  <c r="M428" i="1"/>
  <c r="M871" i="1"/>
  <c r="M748" i="1"/>
  <c r="M260" i="1"/>
  <c r="M490" i="1"/>
  <c r="M438" i="1"/>
  <c r="M687" i="1"/>
  <c r="M236" i="1"/>
  <c r="M770" i="1"/>
  <c r="M718" i="1"/>
  <c r="M809" i="1"/>
  <c r="M394" i="1"/>
  <c r="M132" i="1"/>
  <c r="M830" i="1"/>
  <c r="M39" i="1"/>
  <c r="M182" i="1"/>
  <c r="M349" i="1"/>
  <c r="M40" i="1"/>
  <c r="M815" i="1"/>
  <c r="M379" i="1"/>
  <c r="M76" i="1"/>
  <c r="M66" i="1"/>
  <c r="M262" i="1"/>
  <c r="M979" i="1"/>
  <c r="M565" i="1"/>
  <c r="M230" i="1"/>
  <c r="M411" i="1"/>
  <c r="M480" i="1"/>
  <c r="M215" i="1"/>
  <c r="M481" i="1"/>
  <c r="M858" i="1"/>
  <c r="M688" i="1"/>
  <c r="M237" i="1"/>
  <c r="M585" i="1"/>
  <c r="M140" i="1"/>
  <c r="M195" i="1"/>
  <c r="M574" i="1"/>
  <c r="M216" i="1"/>
  <c r="M369" i="1"/>
  <c r="M125" i="1"/>
  <c r="M154" i="1"/>
  <c r="M119" i="1"/>
  <c r="M217" i="1"/>
  <c r="M52" i="1"/>
  <c r="M726" i="1"/>
  <c r="M225" i="1"/>
  <c r="M218" i="1"/>
  <c r="M634" i="1"/>
  <c r="M749" i="1"/>
  <c r="M964" i="1"/>
  <c r="M859" i="1"/>
  <c r="M810" i="1"/>
  <c r="M537" i="1"/>
  <c r="M673" i="1"/>
  <c r="M170" i="1"/>
  <c r="M527" i="1"/>
  <c r="M762" i="1"/>
  <c r="M918" i="1"/>
  <c r="M792" i="1"/>
  <c r="M745" i="1"/>
  <c r="M816" i="1"/>
  <c r="M41" i="1"/>
  <c r="M602" i="1"/>
  <c r="M965" i="1"/>
  <c r="M263" i="1"/>
  <c r="M566" i="1"/>
  <c r="M264" i="1"/>
  <c r="M439" i="1"/>
  <c r="M619" i="1"/>
  <c r="M638" i="1"/>
  <c r="M945" i="1"/>
  <c r="M620" i="1"/>
  <c r="M750" i="1"/>
  <c r="M380" i="1"/>
  <c r="M636" i="1"/>
  <c r="M853" i="1"/>
  <c r="M545" i="1"/>
  <c r="M109" i="1"/>
  <c r="M281" i="1"/>
  <c r="M282" i="1"/>
  <c r="M310" i="1"/>
  <c r="M337" i="1"/>
  <c r="M575" i="1"/>
  <c r="M874" i="1"/>
  <c r="M120" i="1"/>
  <c r="M500" i="1"/>
  <c r="M429" i="1"/>
  <c r="M898" i="1"/>
  <c r="M876" i="1"/>
  <c r="M751" i="1"/>
  <c r="M134" i="1"/>
  <c r="M276" i="1"/>
  <c r="M312" i="1"/>
  <c r="M135" i="1"/>
  <c r="M621" i="1"/>
  <c r="M980" i="1"/>
  <c r="M646" i="1"/>
  <c r="M501" i="1"/>
  <c r="M171" i="1"/>
  <c r="M475" i="1"/>
  <c r="M700" i="1"/>
  <c r="M680" i="1"/>
  <c r="M812" i="1"/>
  <c r="M113" i="1"/>
  <c r="M690" i="1"/>
  <c r="M528" i="1"/>
  <c r="M763" i="1"/>
  <c r="M413" i="1"/>
  <c r="M966" i="1"/>
  <c r="M946" i="1"/>
  <c r="M53" i="1"/>
  <c r="M546" i="1"/>
  <c r="M967" i="1"/>
  <c r="M651" i="1"/>
  <c r="M860" i="1"/>
  <c r="M465" i="1"/>
  <c r="M42" i="1"/>
  <c r="M502" i="1"/>
  <c r="M451" i="1"/>
  <c r="M503" i="1"/>
  <c r="M813" i="1"/>
  <c r="M155" i="1"/>
  <c r="M493" i="1"/>
  <c r="M674" i="1"/>
  <c r="M25" i="1"/>
  <c r="M12" i="1"/>
  <c r="M342" i="1"/>
  <c r="M926" i="1"/>
  <c r="M746" i="1"/>
  <c r="M54" i="1"/>
  <c r="M385" i="1"/>
  <c r="M8" i="1"/>
  <c r="M77" i="1"/>
  <c r="M948" i="1"/>
  <c r="M13" i="1"/>
  <c r="M67" i="1"/>
  <c r="M136" i="1"/>
  <c r="M362" i="1"/>
  <c r="M730" i="1"/>
  <c r="M1000" i="1"/>
  <c r="M26" i="1"/>
  <c r="M141" i="1"/>
  <c r="M529" i="1"/>
  <c r="M27" i="1"/>
  <c r="M982" i="1"/>
  <c r="M454" i="1"/>
  <c r="M115" i="1"/>
  <c r="M969" i="1"/>
  <c r="M2" i="1"/>
  <c r="M200" i="1"/>
  <c r="M253" i="1"/>
  <c r="M989" i="1"/>
  <c r="M586" i="1"/>
  <c r="M283" i="1"/>
  <c r="M44" i="1"/>
  <c r="M878" i="1"/>
  <c r="M343" i="1"/>
  <c r="M709" i="1"/>
  <c r="M456" i="1"/>
  <c r="M285" i="1"/>
  <c r="M190" i="1"/>
  <c r="M416" i="1"/>
  <c r="M363" i="1"/>
  <c r="M787" i="1"/>
  <c r="M710" i="1"/>
  <c r="M552" i="1"/>
  <c r="M55" i="1"/>
  <c r="M5" i="1"/>
  <c r="M84" i="1"/>
  <c r="M344" i="1"/>
  <c r="M833" i="1"/>
  <c r="M22" i="1"/>
  <c r="M735" i="1"/>
  <c r="M994" i="1"/>
  <c r="M90" i="1"/>
  <c r="M286" i="1"/>
  <c r="M683" i="1"/>
  <c r="M10" i="1"/>
  <c r="M91" i="1"/>
  <c r="M627" i="1"/>
  <c r="M606" i="1"/>
  <c r="M20" i="1"/>
  <c r="M45" i="1"/>
  <c r="M548" i="1"/>
  <c r="M879" i="1"/>
  <c r="M990" i="1"/>
  <c r="M183" i="1"/>
  <c r="M997" i="1"/>
  <c r="M47" i="1"/>
  <c r="M835" i="1"/>
  <c r="M417" i="1"/>
  <c r="M352" i="1"/>
  <c r="M731" i="1"/>
  <c r="M3" i="1"/>
  <c r="M246" i="1"/>
  <c r="M562" i="1"/>
  <c r="M598" i="1"/>
  <c r="M142" i="1"/>
  <c r="M772" i="1"/>
  <c r="M301" i="1"/>
  <c r="M954" i="1"/>
  <c r="M855" i="1"/>
  <c r="M507" i="1"/>
  <c r="M910" i="1"/>
  <c r="M400" i="1"/>
  <c r="M401" i="1"/>
  <c r="M588" i="1"/>
  <c r="M806" i="1"/>
  <c r="M807" i="1"/>
  <c r="M117" i="1"/>
  <c r="M325" i="1"/>
  <c r="M628" i="1"/>
  <c r="M205" i="1"/>
  <c r="M865" i="1"/>
  <c r="M166" i="1"/>
  <c r="M459" i="1"/>
  <c r="M346" i="1"/>
  <c r="M880" i="1"/>
  <c r="M23" i="1"/>
  <c r="M423" i="1"/>
  <c r="M143" i="1"/>
  <c r="M891" i="1"/>
  <c r="M629" i="1"/>
  <c r="M161" i="1"/>
  <c r="M303" i="1"/>
  <c r="M326" i="1"/>
  <c r="M856" i="1"/>
  <c r="M29" i="1"/>
  <c r="M549" i="1"/>
  <c r="M313" i="1"/>
  <c r="M194" i="1"/>
  <c r="M938" i="1"/>
  <c r="M383" i="1"/>
  <c r="M6" i="1"/>
  <c r="M137" i="1"/>
  <c r="M28" i="1"/>
  <c r="M589" i="1"/>
  <c r="M9" i="1"/>
  <c r="M927" i="1"/>
  <c r="M655" i="1"/>
  <c r="M257" i="1"/>
  <c r="M209" i="1"/>
  <c r="M563" i="1"/>
  <c r="M87" i="1"/>
  <c r="M538" i="1"/>
  <c r="M129" i="1"/>
  <c r="M939" i="1"/>
  <c r="M998" i="1"/>
  <c r="M894" i="1"/>
  <c r="M31" i="1"/>
  <c r="M916" i="1"/>
  <c r="M32" i="1"/>
  <c r="M895" i="1"/>
  <c r="M631" i="1"/>
  <c r="M667" i="1"/>
  <c r="M68" i="1"/>
  <c r="M976" i="1"/>
  <c r="M668" i="1"/>
  <c r="M940" i="1"/>
  <c r="M509" i="1"/>
  <c r="M797" i="1"/>
  <c r="M896" i="1"/>
  <c r="M881" i="1"/>
  <c r="M706" i="1"/>
  <c r="M985" i="1"/>
  <c r="M866" i="1"/>
  <c r="M956" i="1"/>
  <c r="M210" i="1"/>
  <c r="M632" i="1"/>
  <c r="M88" i="1"/>
  <c r="M92" i="1"/>
  <c r="M314" i="1"/>
  <c r="M555" i="1"/>
  <c r="M901" i="1"/>
  <c r="M657" i="1"/>
  <c r="M698" i="1"/>
  <c r="M69" i="1"/>
  <c r="M89" i="1"/>
  <c r="M867" i="1"/>
  <c r="M167" i="1"/>
  <c r="M670" i="1"/>
  <c r="M699" i="1"/>
  <c r="M406" i="1"/>
  <c r="M868" i="1"/>
  <c r="M309" i="1"/>
  <c r="M223" i="1"/>
  <c r="M462" i="1"/>
  <c r="M1001" i="1"/>
  <c r="M407" i="1"/>
  <c r="M744" i="1"/>
  <c r="M11" i="1"/>
  <c r="M261" i="1"/>
  <c r="M526" i="1"/>
  <c r="M491" i="1"/>
  <c r="M510" i="1"/>
  <c r="M51" i="1"/>
  <c r="M393" i="1"/>
  <c r="M732" i="1"/>
  <c r="M14" i="1"/>
  <c r="M213" i="1"/>
  <c r="M662" i="1"/>
  <c r="M78" i="1"/>
  <c r="M214" i="1"/>
  <c r="M410" i="1"/>
  <c r="M169" i="1"/>
  <c r="M672" i="1"/>
  <c r="M315" i="1"/>
  <c r="M7" i="1"/>
  <c r="M70" i="1"/>
  <c r="M19" i="1"/>
  <c r="M79" i="1"/>
  <c r="M492" i="1"/>
  <c r="M474" i="1"/>
  <c r="M4" i="1"/>
  <c r="M635" i="1"/>
  <c r="M30" i="1"/>
  <c r="M249" i="1"/>
  <c r="M556" i="1"/>
  <c r="M591" i="1"/>
  <c r="M872" i="1"/>
  <c r="M196" i="1"/>
  <c r="M464" i="1"/>
  <c r="M80" i="1"/>
  <c r="M15" i="1"/>
  <c r="M773" i="1"/>
  <c r="M16" i="1"/>
  <c r="M395" i="1"/>
  <c r="M592" i="1"/>
  <c r="M357" i="1"/>
  <c r="M418" i="1"/>
  <c r="M793" i="1"/>
  <c r="M250" i="1"/>
  <c r="M707" i="1"/>
  <c r="M133" i="1"/>
  <c r="M618" i="1"/>
  <c r="M919" i="1"/>
  <c r="M873" i="1"/>
  <c r="M24" i="1"/>
  <c r="M902" i="1"/>
  <c r="M811" i="1"/>
  <c r="M21" i="1"/>
  <c r="M319" i="1"/>
  <c r="M875" i="1"/>
  <c r="M17" i="1"/>
  <c r="M316" i="1"/>
  <c r="M311" i="1"/>
  <c r="M986" i="1"/>
  <c r="M912" i="1"/>
  <c r="M689" i="1"/>
  <c r="M71" i="1"/>
  <c r="M419" i="1"/>
  <c r="M999" i="1"/>
  <c r="M800" i="1"/>
  <c r="M320" i="1"/>
  <c r="M138" i="1"/>
  <c r="M782" i="1"/>
  <c r="M430" i="1"/>
  <c r="M172" i="1"/>
  <c r="M414" i="1"/>
  <c r="M415" i="1"/>
  <c r="M18" i="1"/>
  <c r="M72" i="1"/>
  <c r="M993" i="1"/>
  <c r="M996" i="1"/>
  <c r="M906" i="1"/>
  <c r="B13" i="2" s="1"/>
  <c r="K846" i="1"/>
  <c r="L846" i="1" s="1"/>
  <c r="K298" i="1"/>
  <c r="L298" i="1" s="1"/>
  <c r="K701" i="1"/>
  <c r="L701" i="1" s="1"/>
  <c r="K327" i="1"/>
  <c r="L327" i="1" s="1"/>
  <c r="K861" i="1"/>
  <c r="L861" i="1" s="1"/>
  <c r="K639" i="1"/>
  <c r="L639" i="1" s="1"/>
  <c r="K622" i="1"/>
  <c r="L622" i="1" s="1"/>
  <c r="K764" i="1"/>
  <c r="L764" i="1" s="1"/>
  <c r="K877" i="1"/>
  <c r="L877" i="1" s="1"/>
  <c r="K754" i="1"/>
  <c r="L754" i="1" s="1"/>
  <c r="K511" i="1"/>
  <c r="L511" i="1" s="1"/>
  <c r="K173" i="1"/>
  <c r="L173" i="1" s="1"/>
  <c r="K240" i="1"/>
  <c r="L240" i="1" s="1"/>
  <c r="K482" i="1"/>
  <c r="L482" i="1" s="1"/>
  <c r="K557" i="1"/>
  <c r="L557" i="1" s="1"/>
  <c r="K398" i="1"/>
  <c r="L398" i="1" s="1"/>
  <c r="K328" i="1"/>
  <c r="L328" i="1" s="1"/>
  <c r="K396" i="1"/>
  <c r="L396" i="1" s="1"/>
  <c r="K184" i="1"/>
  <c r="L184" i="1" s="1"/>
  <c r="K547" i="1"/>
  <c r="L547" i="1" s="1"/>
  <c r="K593" i="1"/>
  <c r="L593" i="1" s="1"/>
  <c r="K771" i="1"/>
  <c r="L771" i="1" s="1"/>
  <c r="K359" i="1"/>
  <c r="L359" i="1" s="1"/>
  <c r="K909" i="1"/>
  <c r="L909" i="1" s="1"/>
  <c r="K708" i="1"/>
  <c r="L708" i="1" s="1"/>
  <c r="K284" i="1"/>
  <c r="L284" i="1" s="1"/>
  <c r="K752" i="1"/>
  <c r="L752" i="1" s="1"/>
  <c r="K364" i="1"/>
  <c r="L364" i="1" s="1"/>
  <c r="K483" i="1"/>
  <c r="L483" i="1" s="1"/>
  <c r="K899" i="1"/>
  <c r="L899" i="1" s="1"/>
  <c r="K244" i="1"/>
  <c r="L244" i="1" s="1"/>
  <c r="K197" i="1"/>
  <c r="L197" i="1" s="1"/>
  <c r="K512" i="1"/>
  <c r="L512" i="1" s="1"/>
  <c r="K317" i="1"/>
  <c r="L317" i="1" s="1"/>
  <c r="K231" i="1"/>
  <c r="L231" i="1" s="1"/>
  <c r="K981" i="1"/>
  <c r="L981" i="1" s="1"/>
  <c r="K587" i="1"/>
  <c r="L587" i="1" s="1"/>
  <c r="K882" i="1"/>
  <c r="L882" i="1" s="1"/>
  <c r="K351" i="1"/>
  <c r="L351" i="1" s="1"/>
  <c r="K920" i="1"/>
  <c r="L920" i="1" s="1"/>
  <c r="K934" i="1"/>
  <c r="L934" i="1" s="1"/>
  <c r="K728" i="1"/>
  <c r="L728" i="1" s="1"/>
  <c r="K987" i="1"/>
  <c r="L987" i="1" s="1"/>
  <c r="K382" i="1"/>
  <c r="L382" i="1" s="1"/>
  <c r="K331" i="1"/>
  <c r="L331" i="1" s="1"/>
  <c r="K983" i="1"/>
  <c r="L983" i="1" s="1"/>
  <c r="K530" i="1"/>
  <c r="L530" i="1" s="1"/>
  <c r="K785" i="1"/>
  <c r="L785" i="1" s="1"/>
  <c r="K923" i="1"/>
  <c r="L923" i="1" s="1"/>
  <c r="K952" i="1"/>
  <c r="L952" i="1" s="1"/>
  <c r="K287" i="1"/>
  <c r="L287" i="1" s="1"/>
  <c r="K387" i="1"/>
  <c r="L387" i="1" s="1"/>
  <c r="K984" i="1"/>
  <c r="L984" i="1" s="1"/>
  <c r="K297" i="1"/>
  <c r="L297" i="1" s="1"/>
  <c r="K953" i="1"/>
  <c r="L953" i="1" s="1"/>
  <c r="K345" i="1"/>
  <c r="L345" i="1" s="1"/>
  <c r="K360" i="1"/>
  <c r="L360" i="1" s="1"/>
  <c r="K921" i="1"/>
  <c r="L921" i="1" s="1"/>
  <c r="K561" i="1"/>
  <c r="L561" i="1" s="1"/>
  <c r="K765" i="1"/>
  <c r="L765" i="1" s="1"/>
  <c r="K388" i="1"/>
  <c r="L388" i="1" s="1"/>
  <c r="K269" i="1"/>
  <c r="L269" i="1" s="1"/>
  <c r="K729" i="1"/>
  <c r="L729" i="1" s="1"/>
  <c r="K270" i="1"/>
  <c r="L270" i="1" s="1"/>
  <c r="K219" i="1"/>
  <c r="L219" i="1" s="1"/>
  <c r="K578" i="1"/>
  <c r="L578" i="1" s="1"/>
  <c r="K192" i="1"/>
  <c r="L192" i="1" s="1"/>
  <c r="K862" i="1"/>
  <c r="L862" i="1" s="1"/>
  <c r="K821" i="1"/>
  <c r="L821" i="1" s="1"/>
  <c r="K766" i="1"/>
  <c r="L766" i="1" s="1"/>
  <c r="K900" i="1"/>
  <c r="L900" i="1" s="1"/>
  <c r="K599" i="1"/>
  <c r="L599" i="1" s="1"/>
  <c r="K955" i="1"/>
  <c r="L955" i="1" s="1"/>
  <c r="K232" i="1"/>
  <c r="L232" i="1" s="1"/>
  <c r="K863" i="1"/>
  <c r="L863" i="1" s="1"/>
  <c r="K460" i="1"/>
  <c r="L460" i="1" s="1"/>
  <c r="K241" i="1"/>
  <c r="L241" i="1" s="1"/>
  <c r="K607" i="1"/>
  <c r="L607" i="1" s="1"/>
  <c r="K403" i="1"/>
  <c r="L403" i="1" s="1"/>
  <c r="K361" i="1"/>
  <c r="L361" i="1" s="1"/>
  <c r="K886" i="1"/>
  <c r="L886" i="1" s="1"/>
  <c r="K822" i="1"/>
  <c r="L822" i="1" s="1"/>
  <c r="K924" i="1"/>
  <c r="L924" i="1" s="1"/>
  <c r="K783" i="1"/>
  <c r="L783" i="1" s="1"/>
  <c r="K604" i="1"/>
  <c r="L604" i="1" s="1"/>
  <c r="K837" i="1"/>
  <c r="L837" i="1" s="1"/>
  <c r="K857" i="1"/>
  <c r="L857" i="1" s="1"/>
  <c r="K753" i="1"/>
  <c r="L753" i="1" s="1"/>
  <c r="K727" i="1"/>
  <c r="L727" i="1" s="1"/>
  <c r="K755" i="1"/>
  <c r="L755" i="1" s="1"/>
  <c r="K329" i="1"/>
  <c r="L329" i="1" s="1"/>
  <c r="K340" i="1"/>
  <c r="L340" i="1" s="1"/>
  <c r="K242" i="1"/>
  <c r="L242" i="1" s="1"/>
  <c r="K144" i="1"/>
  <c r="L144" i="1" s="1"/>
  <c r="K988" i="1"/>
  <c r="L988" i="1" s="1"/>
  <c r="K605" i="1"/>
  <c r="L605" i="1" s="1"/>
  <c r="K791" i="1"/>
  <c r="L791" i="1" s="1"/>
  <c r="K991" i="1"/>
  <c r="L991" i="1" s="1"/>
  <c r="K381" i="1"/>
  <c r="L381" i="1" s="1"/>
  <c r="K370" i="1"/>
  <c r="L370" i="1" s="1"/>
  <c r="K887" i="1"/>
  <c r="L887" i="1" s="1"/>
  <c r="K452" i="1"/>
  <c r="L452" i="1" s="1"/>
  <c r="K341" i="1"/>
  <c r="L341" i="1" s="1"/>
  <c r="K756" i="1"/>
  <c r="L756" i="1" s="1"/>
  <c r="K426" i="1"/>
  <c r="L426" i="1" s="1"/>
  <c r="K947" i="1"/>
  <c r="L947" i="1" s="1"/>
  <c r="K355" i="1"/>
  <c r="L355" i="1" s="1"/>
  <c r="K942" i="1"/>
  <c r="L942" i="1" s="1"/>
  <c r="K838" i="1"/>
  <c r="L838" i="1" s="1"/>
  <c r="K590" i="1"/>
  <c r="L590" i="1" s="1"/>
  <c r="K992" i="1"/>
  <c r="L992" i="1" s="1"/>
  <c r="K330" i="1"/>
  <c r="L330" i="1" s="1"/>
  <c r="K539" i="1"/>
  <c r="L539" i="1" s="1"/>
  <c r="K784" i="1"/>
  <c r="L784" i="1" s="1"/>
  <c r="K658" i="1"/>
  <c r="L658" i="1" s="1"/>
  <c r="K185" i="1"/>
  <c r="L185" i="1" s="1"/>
  <c r="K917" i="1"/>
  <c r="L917" i="1" s="1"/>
  <c r="K839" i="1"/>
  <c r="L839" i="1" s="1"/>
  <c r="K408" i="1"/>
  <c r="L408" i="1" s="1"/>
  <c r="K757" i="1"/>
  <c r="L757" i="1" s="1"/>
  <c r="K889" i="1"/>
  <c r="L889" i="1" s="1"/>
  <c r="K719" i="1"/>
  <c r="L719" i="1" s="1"/>
  <c r="K675" i="1"/>
  <c r="L675" i="1" s="1"/>
  <c r="K603" i="1"/>
  <c r="L603" i="1" s="1"/>
  <c r="K576" i="1"/>
  <c r="L576" i="1" s="1"/>
  <c r="K907" i="1"/>
  <c r="L907" i="1" s="1"/>
  <c r="K440" i="1"/>
  <c r="L440" i="1" s="1"/>
  <c r="K801" i="1"/>
  <c r="L801" i="1" s="1"/>
  <c r="K941" i="1"/>
  <c r="L941" i="1" s="1"/>
  <c r="K908" i="1"/>
  <c r="L908" i="1" s="1"/>
  <c r="K925" i="1"/>
  <c r="L925" i="1" s="1"/>
  <c r="K883" i="1"/>
  <c r="L883" i="1" s="1"/>
  <c r="K633" i="1"/>
  <c r="L633" i="1" s="1"/>
  <c r="K957" i="1"/>
  <c r="L957" i="1" s="1"/>
  <c r="K371" i="1"/>
  <c r="L371" i="1" s="1"/>
  <c r="K338" i="1"/>
  <c r="L338" i="1" s="1"/>
  <c r="K681" i="1"/>
  <c r="L681" i="1" s="1"/>
  <c r="K995" i="1"/>
  <c r="L995" i="1" s="1"/>
  <c r="K652" i="1"/>
  <c r="L652" i="1" s="1"/>
  <c r="K922" i="1"/>
  <c r="L922" i="1" s="1"/>
  <c r="K318" i="1"/>
  <c r="L318" i="1" s="1"/>
  <c r="K453" i="1"/>
  <c r="L453" i="1" s="1"/>
  <c r="K831" i="1"/>
  <c r="L831" i="1" s="1"/>
  <c r="K888" i="1"/>
  <c r="L888" i="1" s="1"/>
  <c r="K412" i="1"/>
  <c r="L412" i="1" s="1"/>
  <c r="K145" i="1"/>
  <c r="L145" i="1" s="1"/>
  <c r="K911" i="1"/>
  <c r="L911" i="1" s="1"/>
  <c r="K608" i="1"/>
  <c r="L608" i="1" s="1"/>
  <c r="K251" i="1"/>
  <c r="L251" i="1" s="1"/>
  <c r="K358" i="1"/>
  <c r="L358" i="1" s="1"/>
  <c r="K339" i="1"/>
  <c r="L339" i="1" s="1"/>
  <c r="K332" i="1"/>
  <c r="L332" i="1" s="1"/>
  <c r="K174" i="1"/>
  <c r="L174" i="1" s="1"/>
  <c r="K577" i="1"/>
  <c r="L577" i="1" s="1"/>
  <c r="K913" i="1"/>
  <c r="L913" i="1" s="1"/>
  <c r="K832" i="1"/>
  <c r="L832" i="1" s="1"/>
  <c r="K663" i="1"/>
  <c r="L663" i="1" s="1"/>
  <c r="K372" i="1"/>
  <c r="L372" i="1" s="1"/>
  <c r="K299" i="1"/>
  <c r="L299" i="1" s="1"/>
  <c r="K114" i="1"/>
  <c r="L114" i="1" s="1"/>
  <c r="K146" i="1"/>
  <c r="L146" i="1" s="1"/>
  <c r="K928" i="1"/>
  <c r="L928" i="1" s="1"/>
  <c r="K786" i="1"/>
  <c r="L786" i="1" s="1"/>
  <c r="K935" i="1"/>
  <c r="L935" i="1" s="1"/>
  <c r="K623" i="1"/>
  <c r="L623" i="1" s="1"/>
  <c r="K186" i="1"/>
  <c r="L186" i="1" s="1"/>
  <c r="K823" i="1"/>
  <c r="L823" i="1" s="1"/>
  <c r="K56" i="1"/>
  <c r="L56" i="1" s="1"/>
  <c r="K81" i="1"/>
  <c r="L81" i="1" s="1"/>
  <c r="K720" i="1"/>
  <c r="L720" i="1" s="1"/>
  <c r="K384" i="1"/>
  <c r="L384" i="1" s="1"/>
  <c r="K252" i="1"/>
  <c r="L252" i="1" s="1"/>
  <c r="K420" i="1"/>
  <c r="L420" i="1" s="1"/>
  <c r="K441" i="1"/>
  <c r="L441" i="1" s="1"/>
  <c r="K175" i="1"/>
  <c r="L175" i="1" s="1"/>
  <c r="K702" i="1"/>
  <c r="L702" i="1" s="1"/>
  <c r="K647" i="1"/>
  <c r="L647" i="1" s="1"/>
  <c r="K767" i="1"/>
  <c r="L767" i="1" s="1"/>
  <c r="K431" i="1"/>
  <c r="L431" i="1" s="1"/>
  <c r="K243" i="1"/>
  <c r="L243" i="1" s="1"/>
  <c r="K558" i="1"/>
  <c r="L558" i="1" s="1"/>
  <c r="K640" i="1"/>
  <c r="L640" i="1" s="1"/>
  <c r="K624" i="1"/>
  <c r="L624" i="1" s="1"/>
  <c r="K484" i="1"/>
  <c r="L484" i="1" s="1"/>
  <c r="K758" i="1"/>
  <c r="L758" i="1" s="1"/>
  <c r="K198" i="1"/>
  <c r="L198" i="1" s="1"/>
  <c r="K321" i="1"/>
  <c r="L321" i="1" s="1"/>
  <c r="K840" i="1"/>
  <c r="L840" i="1" s="1"/>
  <c r="K126" i="1"/>
  <c r="L126" i="1" s="1"/>
  <c r="K802" i="1"/>
  <c r="L802" i="1" s="1"/>
  <c r="K774" i="1"/>
  <c r="L774" i="1" s="1"/>
  <c r="K794" i="1"/>
  <c r="L794" i="1" s="1"/>
  <c r="K682" i="1"/>
  <c r="L682" i="1" s="1"/>
  <c r="K949" i="1"/>
  <c r="L949" i="1" s="1"/>
  <c r="K711" i="1"/>
  <c r="L711" i="1" s="1"/>
  <c r="K531" i="1"/>
  <c r="L531" i="1" s="1"/>
  <c r="K43" i="1"/>
  <c r="L43" i="1" s="1"/>
  <c r="K220" i="1"/>
  <c r="L220" i="1" s="1"/>
  <c r="K803" i="1"/>
  <c r="L803" i="1" s="1"/>
  <c r="K579" i="1"/>
  <c r="L579" i="1" s="1"/>
  <c r="K559" i="1"/>
  <c r="L559" i="1" s="1"/>
  <c r="K476" i="1"/>
  <c r="L476" i="1" s="1"/>
  <c r="K504" i="1"/>
  <c r="L504" i="1" s="1"/>
  <c r="K350" i="1"/>
  <c r="L350" i="1" s="1"/>
  <c r="K550" i="1"/>
  <c r="L550" i="1" s="1"/>
  <c r="K958" i="1"/>
  <c r="L958" i="1" s="1"/>
  <c r="K373" i="1"/>
  <c r="L373" i="1" s="1"/>
  <c r="K841" i="1"/>
  <c r="L841" i="1" s="1"/>
  <c r="K943" i="1"/>
  <c r="L943" i="1" s="1"/>
  <c r="K176" i="1"/>
  <c r="L176" i="1" s="1"/>
  <c r="K333" i="1"/>
  <c r="L333" i="1" s="1"/>
  <c r="K365" i="1"/>
  <c r="L365" i="1" s="1"/>
  <c r="K768" i="1"/>
  <c r="L768" i="1" s="1"/>
  <c r="K147" i="1"/>
  <c r="L147" i="1" s="1"/>
  <c r="K817" i="1"/>
  <c r="L817" i="1" s="1"/>
  <c r="K824" i="1"/>
  <c r="L824" i="1" s="1"/>
  <c r="K712" i="1"/>
  <c r="L712" i="1" s="1"/>
  <c r="K968" i="1"/>
  <c r="L968" i="1" s="1"/>
  <c r="K432" i="1"/>
  <c r="L432" i="1" s="1"/>
  <c r="K721" i="1"/>
  <c r="L721" i="1" s="1"/>
  <c r="K397" i="1"/>
  <c r="L397" i="1" s="1"/>
  <c r="K854" i="1"/>
  <c r="L854" i="1" s="1"/>
  <c r="K676" i="1"/>
  <c r="L676" i="1" s="1"/>
  <c r="K641" i="1"/>
  <c r="L641" i="1" s="1"/>
  <c r="K433" i="1"/>
  <c r="L433" i="1" s="1"/>
  <c r="K929" i="1"/>
  <c r="L929" i="1" s="1"/>
  <c r="K100" i="1"/>
  <c r="L100" i="1" s="1"/>
  <c r="K374" i="1"/>
  <c r="L374" i="1" s="1"/>
  <c r="K101" i="1"/>
  <c r="L101" i="1" s="1"/>
  <c r="K713" i="1"/>
  <c r="L713" i="1" s="1"/>
  <c r="K421" i="1"/>
  <c r="L421" i="1" s="1"/>
  <c r="K199" i="1"/>
  <c r="L199" i="1" s="1"/>
  <c r="K696" i="1"/>
  <c r="L696" i="1" s="1"/>
  <c r="K580" i="1"/>
  <c r="L580" i="1" s="1"/>
  <c r="K505" i="1"/>
  <c r="L505" i="1" s="1"/>
  <c r="K970" i="1"/>
  <c r="L970" i="1" s="1"/>
  <c r="K540" i="1"/>
  <c r="L540" i="1" s="1"/>
  <c r="K201" i="1"/>
  <c r="L201" i="1" s="1"/>
  <c r="K127" i="1"/>
  <c r="L127" i="1" s="1"/>
  <c r="K163" i="1"/>
  <c r="L163" i="1" s="1"/>
  <c r="K567" i="1"/>
  <c r="L567" i="1" s="1"/>
  <c r="K847" i="1"/>
  <c r="L847" i="1" s="1"/>
  <c r="K399" i="1"/>
  <c r="L399" i="1" s="1"/>
  <c r="K691" i="1"/>
  <c r="L691" i="1" s="1"/>
  <c r="K366" i="1"/>
  <c r="L366" i="1" s="1"/>
  <c r="K455" i="1"/>
  <c r="L455" i="1" s="1"/>
  <c r="K648" i="1"/>
  <c r="L648" i="1" s="1"/>
  <c r="K551" i="1"/>
  <c r="L551" i="1" s="1"/>
  <c r="K733" i="1"/>
  <c r="L733" i="1" s="1"/>
  <c r="K625" i="1"/>
  <c r="L625" i="1" s="1"/>
  <c r="K102" i="1"/>
  <c r="L102" i="1" s="1"/>
  <c r="K177" i="1"/>
  <c r="L177" i="1" s="1"/>
  <c r="K930" i="1"/>
  <c r="L930" i="1" s="1"/>
  <c r="K649" i="1"/>
  <c r="L649" i="1" s="1"/>
  <c r="K156" i="1"/>
  <c r="L156" i="1" s="1"/>
  <c r="K226" i="1"/>
  <c r="L226" i="1" s="1"/>
  <c r="K609" i="1"/>
  <c r="L609" i="1" s="1"/>
  <c r="K110" i="1"/>
  <c r="L110" i="1" s="1"/>
  <c r="K692" i="1"/>
  <c r="L692" i="1" s="1"/>
  <c r="K664" i="1"/>
  <c r="L664" i="1" s="1"/>
  <c r="K347" i="1"/>
  <c r="L347" i="1" s="1"/>
  <c r="K864" i="1"/>
  <c r="L864" i="1" s="1"/>
  <c r="K714" i="1"/>
  <c r="L714" i="1" s="1"/>
  <c r="K111" i="1"/>
  <c r="L111" i="1" s="1"/>
  <c r="K82" i="1"/>
  <c r="L82" i="1" s="1"/>
  <c r="K693" i="1"/>
  <c r="L693" i="1" s="1"/>
  <c r="K322" i="1"/>
  <c r="L322" i="1" s="1"/>
  <c r="K116" i="1"/>
  <c r="L116" i="1" s="1"/>
  <c r="K626" i="1"/>
  <c r="L626" i="1" s="1"/>
  <c r="K83" i="1"/>
  <c r="L83" i="1" s="1"/>
  <c r="K532" i="1"/>
  <c r="L532" i="1" s="1"/>
  <c r="K959" i="1"/>
  <c r="L959" i="1" s="1"/>
  <c r="K513" i="1"/>
  <c r="L513" i="1" s="1"/>
  <c r="K825" i="1"/>
  <c r="L825" i="1" s="1"/>
  <c r="K842" i="1"/>
  <c r="L842" i="1" s="1"/>
  <c r="K884" i="1"/>
  <c r="L884" i="1" s="1"/>
  <c r="K375" i="1"/>
  <c r="L375" i="1" s="1"/>
  <c r="K103" i="1"/>
  <c r="L103" i="1" s="1"/>
  <c r="K936" i="1"/>
  <c r="L936" i="1" s="1"/>
  <c r="K434" i="1"/>
  <c r="L434" i="1" s="1"/>
  <c r="K769" i="1"/>
  <c r="L769" i="1" s="1"/>
  <c r="K722" i="1"/>
  <c r="L722" i="1" s="1"/>
  <c r="K514" i="1"/>
  <c r="L514" i="1" s="1"/>
  <c r="K931" i="1"/>
  <c r="L931" i="1" s="1"/>
  <c r="K560" i="1"/>
  <c r="L560" i="1" s="1"/>
  <c r="K238" i="1"/>
  <c r="L238" i="1" s="1"/>
  <c r="K950" i="1"/>
  <c r="L950" i="1" s="1"/>
  <c r="K221" i="1"/>
  <c r="L221" i="1" s="1"/>
  <c r="K971" i="1"/>
  <c r="L971" i="1" s="1"/>
  <c r="K202" i="1"/>
  <c r="L202" i="1" s="1"/>
  <c r="K178" i="1"/>
  <c r="L178" i="1" s="1"/>
  <c r="K775" i="1"/>
  <c r="L775" i="1" s="1"/>
  <c r="K610" i="1"/>
  <c r="L610" i="1" s="1"/>
  <c r="K245" i="1"/>
  <c r="L245" i="1" s="1"/>
  <c r="K653" i="1"/>
  <c r="L653" i="1" s="1"/>
  <c r="K703" i="1"/>
  <c r="L703" i="1" s="1"/>
  <c r="K515" i="1"/>
  <c r="L515" i="1" s="1"/>
  <c r="K73" i="1"/>
  <c r="L73" i="1" s="1"/>
  <c r="K203" i="1"/>
  <c r="L203" i="1" s="1"/>
  <c r="K128" i="1"/>
  <c r="L128" i="1" s="1"/>
  <c r="K494" i="1"/>
  <c r="L494" i="1" s="1"/>
  <c r="K323" i="1"/>
  <c r="L323" i="1" s="1"/>
  <c r="K594" i="1"/>
  <c r="L594" i="1" s="1"/>
  <c r="K951" i="1"/>
  <c r="L951" i="1" s="1"/>
  <c r="K932" i="1"/>
  <c r="L932" i="1" s="1"/>
  <c r="K734" i="1"/>
  <c r="L734" i="1" s="1"/>
  <c r="K435" i="1"/>
  <c r="L435" i="1" s="1"/>
  <c r="K843" i="1"/>
  <c r="L843" i="1" s="1"/>
  <c r="K187" i="1"/>
  <c r="L187" i="1" s="1"/>
  <c r="K611" i="1"/>
  <c r="L611" i="1" s="1"/>
  <c r="K715" i="1"/>
  <c r="L715" i="1" s="1"/>
  <c r="K74" i="1"/>
  <c r="L74" i="1" s="1"/>
  <c r="K568" i="1"/>
  <c r="L568" i="1" s="1"/>
  <c r="K776" i="1"/>
  <c r="L776" i="1" s="1"/>
  <c r="K914" i="1"/>
  <c r="L914" i="1" s="1"/>
  <c r="K93" i="1"/>
  <c r="L93" i="1" s="1"/>
  <c r="K85" i="1"/>
  <c r="L85" i="1" s="1"/>
  <c r="K834" i="1"/>
  <c r="L834" i="1" s="1"/>
  <c r="K937" i="1"/>
  <c r="L937" i="1" s="1"/>
  <c r="K466" i="1"/>
  <c r="L466" i="1" s="1"/>
  <c r="K422" i="1"/>
  <c r="L422" i="1" s="1"/>
  <c r="K736" i="1"/>
  <c r="L736" i="1" s="1"/>
  <c r="K737" i="1"/>
  <c r="L737" i="1" s="1"/>
  <c r="K516" i="1"/>
  <c r="L516" i="1" s="1"/>
  <c r="K324" i="1"/>
  <c r="L324" i="1" s="1"/>
  <c r="K477" i="1"/>
  <c r="L477" i="1" s="1"/>
  <c r="K485" i="1"/>
  <c r="L485" i="1" s="1"/>
  <c r="K254" i="1"/>
  <c r="L254" i="1" s="1"/>
  <c r="K277" i="1"/>
  <c r="L277" i="1" s="1"/>
  <c r="K164" i="1"/>
  <c r="L164" i="1" s="1"/>
  <c r="K612" i="1"/>
  <c r="L612" i="1" s="1"/>
  <c r="K654" i="1"/>
  <c r="L654" i="1" s="1"/>
  <c r="K457" i="1"/>
  <c r="L457" i="1" s="1"/>
  <c r="K595" i="1"/>
  <c r="L595" i="1" s="1"/>
  <c r="K148" i="1"/>
  <c r="L148" i="1" s="1"/>
  <c r="K467" i="1"/>
  <c r="L467" i="1" s="1"/>
  <c r="K191" i="1"/>
  <c r="L191" i="1" s="1"/>
  <c r="K553" i="1"/>
  <c r="L553" i="1" s="1"/>
  <c r="K495" i="1"/>
  <c r="L495" i="1" s="1"/>
  <c r="K46" i="1"/>
  <c r="L46" i="1" s="1"/>
  <c r="K57" i="1"/>
  <c r="L57" i="1" s="1"/>
  <c r="K569" i="1"/>
  <c r="L569" i="1" s="1"/>
  <c r="K747" i="1"/>
  <c r="L747" i="1" s="1"/>
  <c r="K596" i="1"/>
  <c r="L596" i="1" s="1"/>
  <c r="K972" i="1"/>
  <c r="L972" i="1" s="1"/>
  <c r="K613" i="1"/>
  <c r="L613" i="1" s="1"/>
  <c r="K637" i="1"/>
  <c r="L637" i="1" s="1"/>
  <c r="K334" i="1"/>
  <c r="L334" i="1" s="1"/>
  <c r="K478" i="1"/>
  <c r="L478" i="1" s="1"/>
  <c r="K506" i="1"/>
  <c r="L506" i="1" s="1"/>
  <c r="K804" i="1"/>
  <c r="L804" i="1" s="1"/>
  <c r="K973" i="1"/>
  <c r="L973" i="1" s="1"/>
  <c r="K367" i="1"/>
  <c r="L367" i="1" s="1"/>
  <c r="K255" i="1"/>
  <c r="L255" i="1" s="1"/>
  <c r="K386" i="1"/>
  <c r="L386" i="1" s="1"/>
  <c r="K496" i="1"/>
  <c r="L496" i="1" s="1"/>
  <c r="K59" i="1"/>
  <c r="L59" i="1" s="1"/>
  <c r="K94" i="1"/>
  <c r="L94" i="1" s="1"/>
  <c r="K300" i="1"/>
  <c r="L300" i="1" s="1"/>
  <c r="K885" i="1"/>
  <c r="L885" i="1" s="1"/>
  <c r="K442" i="1"/>
  <c r="L442" i="1" s="1"/>
  <c r="K227" i="1"/>
  <c r="L227" i="1" s="1"/>
  <c r="K149" i="1"/>
  <c r="L149" i="1" s="1"/>
  <c r="K157" i="1"/>
  <c r="L157" i="1" s="1"/>
  <c r="K694" i="1"/>
  <c r="L694" i="1" s="1"/>
  <c r="K581" i="1"/>
  <c r="L581" i="1" s="1"/>
  <c r="K642" i="1"/>
  <c r="L642" i="1" s="1"/>
  <c r="K614" i="1"/>
  <c r="L614" i="1" s="1"/>
  <c r="K665" i="1"/>
  <c r="L665" i="1" s="1"/>
  <c r="K570" i="1"/>
  <c r="L570" i="1" s="1"/>
  <c r="K738" i="1"/>
  <c r="L738" i="1" s="1"/>
  <c r="K597" i="1"/>
  <c r="L597" i="1" s="1"/>
  <c r="K60" i="1"/>
  <c r="L60" i="1" s="1"/>
  <c r="K443" i="1"/>
  <c r="L443" i="1" s="1"/>
  <c r="K288" i="1"/>
  <c r="L288" i="1" s="1"/>
  <c r="K376" i="1"/>
  <c r="L376" i="1" s="1"/>
  <c r="K33" i="1"/>
  <c r="L33" i="1" s="1"/>
  <c r="K643" i="1"/>
  <c r="L643" i="1" s="1"/>
  <c r="K48" i="1"/>
  <c r="L48" i="1" s="1"/>
  <c r="K517" i="1"/>
  <c r="L517" i="1" s="1"/>
  <c r="K571" i="1"/>
  <c r="L571" i="1" s="1"/>
  <c r="K818" i="1"/>
  <c r="L818" i="1" s="1"/>
  <c r="K158" i="1"/>
  <c r="L158" i="1" s="1"/>
  <c r="K486" i="1"/>
  <c r="L486" i="1" s="1"/>
  <c r="K819" i="1"/>
  <c r="L819" i="1" s="1"/>
  <c r="K814" i="1"/>
  <c r="L814" i="1" s="1"/>
  <c r="K222" i="1"/>
  <c r="L222" i="1" s="1"/>
  <c r="K444" i="1"/>
  <c r="L444" i="1" s="1"/>
  <c r="K468" i="1"/>
  <c r="L468" i="1" s="1"/>
  <c r="K933" i="1"/>
  <c r="L933" i="1" s="1"/>
  <c r="K159" i="1"/>
  <c r="L159" i="1" s="1"/>
  <c r="K447" i="1"/>
  <c r="L447" i="1" s="1"/>
  <c r="K75" i="1"/>
  <c r="L75" i="1" s="1"/>
  <c r="K160" i="1"/>
  <c r="L160" i="1" s="1"/>
  <c r="K86" i="1"/>
  <c r="L86" i="1" s="1"/>
  <c r="K788" i="1"/>
  <c r="L788" i="1" s="1"/>
  <c r="K165" i="1"/>
  <c r="L165" i="1" s="1"/>
  <c r="K805" i="1"/>
  <c r="L805" i="1" s="1"/>
  <c r="K289" i="1"/>
  <c r="L289" i="1" s="1"/>
  <c r="K458" i="1"/>
  <c r="L458" i="1" s="1"/>
  <c r="K290" i="1"/>
  <c r="L290" i="1" s="1"/>
  <c r="K848" i="1"/>
  <c r="L848" i="1" s="1"/>
  <c r="K402" i="1"/>
  <c r="L402" i="1" s="1"/>
  <c r="K487" i="1"/>
  <c r="L487" i="1" s="1"/>
  <c r="K389" i="1"/>
  <c r="L389" i="1" s="1"/>
  <c r="K204" i="1"/>
  <c r="L204" i="1" s="1"/>
  <c r="K256" i="1"/>
  <c r="L256" i="1" s="1"/>
  <c r="K615" i="1"/>
  <c r="L615" i="1" s="1"/>
  <c r="K61" i="1"/>
  <c r="L61" i="1" s="1"/>
  <c r="K121" i="1"/>
  <c r="L121" i="1" s="1"/>
  <c r="K104" i="1"/>
  <c r="L104" i="1" s="1"/>
  <c r="K789" i="1"/>
  <c r="L789" i="1" s="1"/>
  <c r="K716" i="1"/>
  <c r="L716" i="1" s="1"/>
  <c r="K62" i="1"/>
  <c r="L62" i="1" s="1"/>
  <c r="K826" i="1"/>
  <c r="L826" i="1" s="1"/>
  <c r="K684" i="1"/>
  <c r="L684" i="1" s="1"/>
  <c r="K790" i="1"/>
  <c r="L790" i="1" s="1"/>
  <c r="K890" i="1"/>
  <c r="L890" i="1" s="1"/>
  <c r="K518" i="1"/>
  <c r="L518" i="1" s="1"/>
  <c r="K723" i="1"/>
  <c r="L723" i="1" s="1"/>
  <c r="K974" i="1"/>
  <c r="L974" i="1" s="1"/>
  <c r="K795" i="1"/>
  <c r="L795" i="1" s="1"/>
  <c r="K479" i="1"/>
  <c r="L479" i="1" s="1"/>
  <c r="K112" i="1"/>
  <c r="L112" i="1" s="1"/>
  <c r="K572" i="1"/>
  <c r="L572" i="1" s="1"/>
  <c r="K677" i="1"/>
  <c r="L677" i="1" s="1"/>
  <c r="K95" i="1"/>
  <c r="L95" i="1" s="1"/>
  <c r="K265" i="1"/>
  <c r="L265" i="1" s="1"/>
  <c r="K105" i="1"/>
  <c r="L105" i="1" s="1"/>
  <c r="K903" i="1"/>
  <c r="L903" i="1" s="1"/>
  <c r="K122" i="1"/>
  <c r="L122" i="1" s="1"/>
  <c r="K717" i="1"/>
  <c r="L717" i="1" s="1"/>
  <c r="K34" i="1"/>
  <c r="L34" i="1" s="1"/>
  <c r="K904" i="1"/>
  <c r="L904" i="1" s="1"/>
  <c r="K96" i="1"/>
  <c r="L96" i="1" s="1"/>
  <c r="K759" i="1"/>
  <c r="L759" i="1" s="1"/>
  <c r="K97" i="1"/>
  <c r="L97" i="1" s="1"/>
  <c r="K616" i="1"/>
  <c r="L616" i="1" s="1"/>
  <c r="K302" i="1"/>
  <c r="L302" i="1" s="1"/>
  <c r="K666" i="1"/>
  <c r="L666" i="1" s="1"/>
  <c r="K206" i="1"/>
  <c r="L206" i="1" s="1"/>
  <c r="K335" i="1"/>
  <c r="L335" i="1" s="1"/>
  <c r="K179" i="1"/>
  <c r="L179" i="1" s="1"/>
  <c r="K678" i="1"/>
  <c r="L678" i="1" s="1"/>
  <c r="K836" i="1"/>
  <c r="L836" i="1" s="1"/>
  <c r="K377" i="1"/>
  <c r="L377" i="1" s="1"/>
  <c r="K573" i="1"/>
  <c r="L573" i="1" s="1"/>
  <c r="K63" i="1"/>
  <c r="L63" i="1" s="1"/>
  <c r="K704" i="1"/>
  <c r="L704" i="1" s="1"/>
  <c r="K644" i="1"/>
  <c r="L644" i="1" s="1"/>
  <c r="K424" i="1"/>
  <c r="L424" i="1" s="1"/>
  <c r="K915" i="1"/>
  <c r="L915" i="1" s="1"/>
  <c r="K617" i="1"/>
  <c r="L617" i="1" s="1"/>
  <c r="K278" i="1"/>
  <c r="L278" i="1" s="1"/>
  <c r="K291" i="1"/>
  <c r="L291" i="1" s="1"/>
  <c r="K279" i="1"/>
  <c r="L279" i="1" s="1"/>
  <c r="K266" i="1"/>
  <c r="L266" i="1" s="1"/>
  <c r="K98" i="1"/>
  <c r="L98" i="1" s="1"/>
  <c r="K304" i="1"/>
  <c r="L304" i="1" s="1"/>
  <c r="K739" i="1"/>
  <c r="L739" i="1" s="1"/>
  <c r="K740" i="1"/>
  <c r="L740" i="1" s="1"/>
  <c r="K892" i="1"/>
  <c r="L892" i="1" s="1"/>
  <c r="K600" i="1"/>
  <c r="L600" i="1" s="1"/>
  <c r="K582" i="1"/>
  <c r="L582" i="1" s="1"/>
  <c r="K425" i="1"/>
  <c r="L425" i="1" s="1"/>
  <c r="K123" i="1"/>
  <c r="L123" i="1" s="1"/>
  <c r="K207" i="1"/>
  <c r="L207" i="1" s="1"/>
  <c r="K685" i="1"/>
  <c r="L685" i="1" s="1"/>
  <c r="K827" i="1"/>
  <c r="L827" i="1" s="1"/>
  <c r="K208" i="1"/>
  <c r="L208" i="1" s="1"/>
  <c r="K193" i="1"/>
  <c r="L193" i="1" s="1"/>
  <c r="K390" i="1"/>
  <c r="L390" i="1" s="1"/>
  <c r="K445" i="1"/>
  <c r="L445" i="1" s="1"/>
  <c r="K469" i="1"/>
  <c r="L469" i="1" s="1"/>
  <c r="K305" i="1"/>
  <c r="L305" i="1" s="1"/>
  <c r="K404" i="1"/>
  <c r="L404" i="1" s="1"/>
  <c r="K519" i="1"/>
  <c r="L519" i="1" s="1"/>
  <c r="K488" i="1"/>
  <c r="L488" i="1" s="1"/>
  <c r="K106" i="1"/>
  <c r="L106" i="1" s="1"/>
  <c r="K448" i="1"/>
  <c r="L448" i="1" s="1"/>
  <c r="K49" i="1"/>
  <c r="L49" i="1" s="1"/>
  <c r="K64" i="1"/>
  <c r="L64" i="1" s="1"/>
  <c r="K188" i="1"/>
  <c r="L188" i="1" s="1"/>
  <c r="K353" i="1"/>
  <c r="L353" i="1" s="1"/>
  <c r="K960" i="1"/>
  <c r="L960" i="1" s="1"/>
  <c r="K271" i="1"/>
  <c r="L271" i="1" s="1"/>
  <c r="K686" i="1"/>
  <c r="L686" i="1" s="1"/>
  <c r="K520" i="1"/>
  <c r="L520" i="1" s="1"/>
  <c r="K470" i="1"/>
  <c r="L470" i="1" s="1"/>
  <c r="K449" i="1"/>
  <c r="L449" i="1" s="1"/>
  <c r="K630" i="1"/>
  <c r="L630" i="1" s="1"/>
  <c r="K533" i="1"/>
  <c r="L533" i="1" s="1"/>
  <c r="K189" i="1"/>
  <c r="L189" i="1" s="1"/>
  <c r="K497" i="1"/>
  <c r="L497" i="1" s="1"/>
  <c r="K272" i="1"/>
  <c r="L272" i="1" s="1"/>
  <c r="K99" i="1"/>
  <c r="L99" i="1" s="1"/>
  <c r="K498" i="1"/>
  <c r="L498" i="1" s="1"/>
  <c r="K280" i="1"/>
  <c r="L280" i="1" s="1"/>
  <c r="K267" i="1"/>
  <c r="L267" i="1" s="1"/>
  <c r="K697" i="1"/>
  <c r="L697" i="1" s="1"/>
  <c r="K348" i="1"/>
  <c r="L348" i="1" s="1"/>
  <c r="K471" i="1"/>
  <c r="L471" i="1" s="1"/>
  <c r="K583" i="1"/>
  <c r="L583" i="1" s="1"/>
  <c r="K844" i="1"/>
  <c r="L844" i="1" s="1"/>
  <c r="K354" i="1"/>
  <c r="L354" i="1" s="1"/>
  <c r="K893" i="1"/>
  <c r="L893" i="1" s="1"/>
  <c r="K541" i="1"/>
  <c r="L541" i="1" s="1"/>
  <c r="K695" i="1"/>
  <c r="L695" i="1" s="1"/>
  <c r="K306" i="1"/>
  <c r="L306" i="1" s="1"/>
  <c r="K679" i="1"/>
  <c r="L679" i="1" s="1"/>
  <c r="K228" i="1"/>
  <c r="L228" i="1" s="1"/>
  <c r="K645" i="1"/>
  <c r="L645" i="1" s="1"/>
  <c r="K741" i="1"/>
  <c r="L741" i="1" s="1"/>
  <c r="K150" i="1"/>
  <c r="L150" i="1" s="1"/>
  <c r="K534" i="1"/>
  <c r="L534" i="1" s="1"/>
  <c r="K151" i="1"/>
  <c r="L151" i="1" s="1"/>
  <c r="K542" i="1"/>
  <c r="L542" i="1" s="1"/>
  <c r="K796" i="1"/>
  <c r="L796" i="1" s="1"/>
  <c r="K180" i="1"/>
  <c r="L180" i="1" s="1"/>
  <c r="K307" i="1"/>
  <c r="L307" i="1" s="1"/>
  <c r="K233" i="1"/>
  <c r="L233" i="1" s="1"/>
  <c r="K849" i="1"/>
  <c r="L849" i="1" s="1"/>
  <c r="K308" i="1"/>
  <c r="L308" i="1" s="1"/>
  <c r="K705" i="1"/>
  <c r="L705" i="1" s="1"/>
  <c r="K292" i="1"/>
  <c r="L292" i="1" s="1"/>
  <c r="K35" i="1"/>
  <c r="L35" i="1" s="1"/>
  <c r="K162" i="1"/>
  <c r="L162" i="1" s="1"/>
  <c r="K118" i="1"/>
  <c r="L118" i="1" s="1"/>
  <c r="K724" i="1"/>
  <c r="L724" i="1" s="1"/>
  <c r="K742" i="1"/>
  <c r="L742" i="1" s="1"/>
  <c r="K130" i="1"/>
  <c r="L130" i="1" s="1"/>
  <c r="K472" i="1"/>
  <c r="L472" i="1" s="1"/>
  <c r="K961" i="1"/>
  <c r="L961" i="1" s="1"/>
  <c r="K107" i="1"/>
  <c r="L107" i="1" s="1"/>
  <c r="K508" i="1"/>
  <c r="L508" i="1" s="1"/>
  <c r="K293" i="1"/>
  <c r="L293" i="1" s="1"/>
  <c r="K124" i="1"/>
  <c r="L124" i="1" s="1"/>
  <c r="K777" i="1"/>
  <c r="L777" i="1" s="1"/>
  <c r="K975" i="1"/>
  <c r="L975" i="1" s="1"/>
  <c r="K139" i="1"/>
  <c r="L139" i="1" s="1"/>
  <c r="K461" i="1"/>
  <c r="L461" i="1" s="1"/>
  <c r="K36" i="1"/>
  <c r="L36" i="1" s="1"/>
  <c r="K247" i="1"/>
  <c r="L247" i="1" s="1"/>
  <c r="K962" i="1"/>
  <c r="L962" i="1" s="1"/>
  <c r="K211" i="1"/>
  <c r="L211" i="1" s="1"/>
  <c r="K543" i="1"/>
  <c r="L543" i="1" s="1"/>
  <c r="K234" i="1"/>
  <c r="L234" i="1" s="1"/>
  <c r="K50" i="1"/>
  <c r="L50" i="1" s="1"/>
  <c r="K828" i="1"/>
  <c r="L828" i="1" s="1"/>
  <c r="K669" i="1"/>
  <c r="L669" i="1" s="1"/>
  <c r="K268" i="1"/>
  <c r="L268" i="1" s="1"/>
  <c r="K535" i="1"/>
  <c r="L535" i="1" s="1"/>
  <c r="K108" i="1"/>
  <c r="L108" i="1" s="1"/>
  <c r="K37" i="1"/>
  <c r="L37" i="1" s="1"/>
  <c r="K273" i="1"/>
  <c r="L273" i="1" s="1"/>
  <c r="K808" i="1"/>
  <c r="L808" i="1" s="1"/>
  <c r="K436" i="1"/>
  <c r="L436" i="1" s="1"/>
  <c r="K258" i="1"/>
  <c r="L258" i="1" s="1"/>
  <c r="K778" i="1"/>
  <c r="L778" i="1" s="1"/>
  <c r="K779" i="1"/>
  <c r="L779" i="1" s="1"/>
  <c r="K405" i="1"/>
  <c r="L405" i="1" s="1"/>
  <c r="K368" i="1"/>
  <c r="L368" i="1" s="1"/>
  <c r="K944" i="1"/>
  <c r="L944" i="1" s="1"/>
  <c r="K391" i="1"/>
  <c r="L391" i="1" s="1"/>
  <c r="K798" i="1"/>
  <c r="L798" i="1" s="1"/>
  <c r="K65" i="1"/>
  <c r="L65" i="1" s="1"/>
  <c r="K656" i="1"/>
  <c r="L656" i="1" s="1"/>
  <c r="K259" i="1"/>
  <c r="L259" i="1" s="1"/>
  <c r="K437" i="1"/>
  <c r="L437" i="1" s="1"/>
  <c r="K554" i="1"/>
  <c r="L554" i="1" s="1"/>
  <c r="K743" i="1"/>
  <c r="L743" i="1" s="1"/>
  <c r="K235" i="1"/>
  <c r="L235" i="1" s="1"/>
  <c r="K760" i="1"/>
  <c r="L760" i="1" s="1"/>
  <c r="K564" i="1"/>
  <c r="L564" i="1" s="1"/>
  <c r="K521" i="1"/>
  <c r="L521" i="1" s="1"/>
  <c r="K489" i="1"/>
  <c r="L489" i="1" s="1"/>
  <c r="K780" i="1"/>
  <c r="L780" i="1" s="1"/>
  <c r="K378" i="1"/>
  <c r="L378" i="1" s="1"/>
  <c r="K850" i="1"/>
  <c r="L850" i="1" s="1"/>
  <c r="K601" i="1"/>
  <c r="L601" i="1" s="1"/>
  <c r="K977" i="1"/>
  <c r="L977" i="1" s="1"/>
  <c r="K181" i="1"/>
  <c r="L181" i="1" s="1"/>
  <c r="K544" i="1"/>
  <c r="L544" i="1" s="1"/>
  <c r="K820" i="1"/>
  <c r="L820" i="1" s="1"/>
  <c r="K536" i="1"/>
  <c r="L536" i="1" s="1"/>
  <c r="K522" i="1"/>
  <c r="L522" i="1" s="1"/>
  <c r="K274" i="1"/>
  <c r="L274" i="1" s="1"/>
  <c r="K294" i="1"/>
  <c r="L294" i="1" s="1"/>
  <c r="K356" i="1"/>
  <c r="L356" i="1" s="1"/>
  <c r="K38" i="1"/>
  <c r="L38" i="1" s="1"/>
  <c r="K336" i="1"/>
  <c r="L336" i="1" s="1"/>
  <c r="K761" i="1"/>
  <c r="L761" i="1" s="1"/>
  <c r="K978" i="1"/>
  <c r="L978" i="1" s="1"/>
  <c r="K499" i="1"/>
  <c r="L499" i="1" s="1"/>
  <c r="K523" i="1"/>
  <c r="L523" i="1" s="1"/>
  <c r="K851" i="1"/>
  <c r="L851" i="1" s="1"/>
  <c r="K799" i="1"/>
  <c r="L799" i="1" s="1"/>
  <c r="K295" i="1"/>
  <c r="L295" i="1" s="1"/>
  <c r="K473" i="1"/>
  <c r="L473" i="1" s="1"/>
  <c r="K275" i="1"/>
  <c r="L275" i="1" s="1"/>
  <c r="K659" i="1"/>
  <c r="L659" i="1" s="1"/>
  <c r="K239" i="1"/>
  <c r="L239" i="1" s="1"/>
  <c r="K584" i="1"/>
  <c r="L584" i="1" s="1"/>
  <c r="K152" i="1"/>
  <c r="L152" i="1" s="1"/>
  <c r="K131" i="1"/>
  <c r="L131" i="1" s="1"/>
  <c r="K229" i="1"/>
  <c r="L229" i="1" s="1"/>
  <c r="K153" i="1"/>
  <c r="L153" i="1" s="1"/>
  <c r="K392" i="1"/>
  <c r="L392" i="1" s="1"/>
  <c r="K660" i="1"/>
  <c r="L660" i="1" s="1"/>
  <c r="K212" i="1"/>
  <c r="L212" i="1" s="1"/>
  <c r="K897" i="1"/>
  <c r="L897" i="1" s="1"/>
  <c r="K446" i="1"/>
  <c r="L446" i="1" s="1"/>
  <c r="K463" i="1"/>
  <c r="L463" i="1" s="1"/>
  <c r="K296" i="1"/>
  <c r="L296" i="1" s="1"/>
  <c r="K869" i="1"/>
  <c r="L869" i="1" s="1"/>
  <c r="K450" i="1"/>
  <c r="L450" i="1" s="1"/>
  <c r="K427" i="1"/>
  <c r="L427" i="1" s="1"/>
  <c r="K650" i="1"/>
  <c r="L650" i="1" s="1"/>
  <c r="K671" i="1"/>
  <c r="L671" i="1" s="1"/>
  <c r="K845" i="1"/>
  <c r="L845" i="1" s="1"/>
  <c r="K852" i="1"/>
  <c r="L852" i="1" s="1"/>
  <c r="K870" i="1"/>
  <c r="L870" i="1" s="1"/>
  <c r="K224" i="1"/>
  <c r="L224" i="1" s="1"/>
  <c r="K524" i="1"/>
  <c r="L524" i="1" s="1"/>
  <c r="K661" i="1"/>
  <c r="L661" i="1" s="1"/>
  <c r="K409" i="1"/>
  <c r="L409" i="1" s="1"/>
  <c r="K905" i="1"/>
  <c r="L905" i="1" s="1"/>
  <c r="K525" i="1"/>
  <c r="L525" i="1" s="1"/>
  <c r="K781" i="1"/>
  <c r="L781" i="1" s="1"/>
  <c r="K168" i="1"/>
  <c r="L168" i="1" s="1"/>
  <c r="K829" i="1"/>
  <c r="L829" i="1" s="1"/>
  <c r="K963" i="1"/>
  <c r="L963" i="1" s="1"/>
  <c r="K248" i="1"/>
  <c r="L248" i="1" s="1"/>
  <c r="K725" i="1"/>
  <c r="L725" i="1" s="1"/>
  <c r="K58" i="1"/>
  <c r="L58" i="1" s="1"/>
  <c r="K428" i="1"/>
  <c r="L428" i="1" s="1"/>
  <c r="K871" i="1"/>
  <c r="L871" i="1" s="1"/>
  <c r="K748" i="1"/>
  <c r="L748" i="1" s="1"/>
  <c r="K260" i="1"/>
  <c r="L260" i="1" s="1"/>
  <c r="K490" i="1"/>
  <c r="L490" i="1" s="1"/>
  <c r="K438" i="1"/>
  <c r="L438" i="1" s="1"/>
  <c r="K687" i="1"/>
  <c r="L687" i="1" s="1"/>
  <c r="K236" i="1"/>
  <c r="L236" i="1" s="1"/>
  <c r="K770" i="1"/>
  <c r="L770" i="1" s="1"/>
  <c r="K718" i="1"/>
  <c r="L718" i="1" s="1"/>
  <c r="K809" i="1"/>
  <c r="L809" i="1" s="1"/>
  <c r="K394" i="1"/>
  <c r="L394" i="1" s="1"/>
  <c r="K132" i="1"/>
  <c r="L132" i="1" s="1"/>
  <c r="K830" i="1"/>
  <c r="L830" i="1" s="1"/>
  <c r="K39" i="1"/>
  <c r="L39" i="1" s="1"/>
  <c r="K182" i="1"/>
  <c r="L182" i="1" s="1"/>
  <c r="K349" i="1"/>
  <c r="L349" i="1" s="1"/>
  <c r="K40" i="1"/>
  <c r="L40" i="1" s="1"/>
  <c r="K815" i="1"/>
  <c r="L815" i="1" s="1"/>
  <c r="K379" i="1"/>
  <c r="L379" i="1" s="1"/>
  <c r="K76" i="1"/>
  <c r="L76" i="1" s="1"/>
  <c r="K66" i="1"/>
  <c r="L66" i="1" s="1"/>
  <c r="K262" i="1"/>
  <c r="L262" i="1" s="1"/>
  <c r="K979" i="1"/>
  <c r="L979" i="1" s="1"/>
  <c r="K565" i="1"/>
  <c r="L565" i="1" s="1"/>
  <c r="K230" i="1"/>
  <c r="L230" i="1" s="1"/>
  <c r="K411" i="1"/>
  <c r="L411" i="1" s="1"/>
  <c r="K480" i="1"/>
  <c r="L480" i="1" s="1"/>
  <c r="K215" i="1"/>
  <c r="L215" i="1" s="1"/>
  <c r="K481" i="1"/>
  <c r="L481" i="1" s="1"/>
  <c r="K858" i="1"/>
  <c r="L858" i="1" s="1"/>
  <c r="K688" i="1"/>
  <c r="L688" i="1" s="1"/>
  <c r="K237" i="1"/>
  <c r="L237" i="1" s="1"/>
  <c r="K585" i="1"/>
  <c r="L585" i="1" s="1"/>
  <c r="K140" i="1"/>
  <c r="L140" i="1" s="1"/>
  <c r="K195" i="1"/>
  <c r="L195" i="1" s="1"/>
  <c r="K574" i="1"/>
  <c r="L574" i="1" s="1"/>
  <c r="K216" i="1"/>
  <c r="L216" i="1" s="1"/>
  <c r="K369" i="1"/>
  <c r="L369" i="1" s="1"/>
  <c r="K125" i="1"/>
  <c r="L125" i="1" s="1"/>
  <c r="K154" i="1"/>
  <c r="L154" i="1" s="1"/>
  <c r="K119" i="1"/>
  <c r="L119" i="1" s="1"/>
  <c r="K217" i="1"/>
  <c r="L217" i="1" s="1"/>
  <c r="K52" i="1"/>
  <c r="L52" i="1" s="1"/>
  <c r="K726" i="1"/>
  <c r="L726" i="1" s="1"/>
  <c r="K225" i="1"/>
  <c r="L225" i="1" s="1"/>
  <c r="K218" i="1"/>
  <c r="L218" i="1" s="1"/>
  <c r="K634" i="1"/>
  <c r="L634" i="1" s="1"/>
  <c r="K749" i="1"/>
  <c r="L749" i="1" s="1"/>
  <c r="K964" i="1"/>
  <c r="L964" i="1" s="1"/>
  <c r="K859" i="1"/>
  <c r="L859" i="1" s="1"/>
  <c r="K810" i="1"/>
  <c r="L810" i="1" s="1"/>
  <c r="K537" i="1"/>
  <c r="L537" i="1" s="1"/>
  <c r="K673" i="1"/>
  <c r="L673" i="1" s="1"/>
  <c r="K170" i="1"/>
  <c r="L170" i="1" s="1"/>
  <c r="K527" i="1"/>
  <c r="L527" i="1" s="1"/>
  <c r="K762" i="1"/>
  <c r="L762" i="1" s="1"/>
  <c r="K918" i="1"/>
  <c r="L918" i="1" s="1"/>
  <c r="K792" i="1"/>
  <c r="L792" i="1" s="1"/>
  <c r="K745" i="1"/>
  <c r="L745" i="1" s="1"/>
  <c r="K816" i="1"/>
  <c r="L816" i="1" s="1"/>
  <c r="K41" i="1"/>
  <c r="L41" i="1" s="1"/>
  <c r="K602" i="1"/>
  <c r="L602" i="1" s="1"/>
  <c r="K965" i="1"/>
  <c r="L965" i="1" s="1"/>
  <c r="K263" i="1"/>
  <c r="L263" i="1" s="1"/>
  <c r="K566" i="1"/>
  <c r="L566" i="1" s="1"/>
  <c r="K264" i="1"/>
  <c r="L264" i="1" s="1"/>
  <c r="K439" i="1"/>
  <c r="L439" i="1" s="1"/>
  <c r="K619" i="1"/>
  <c r="L619" i="1" s="1"/>
  <c r="K638" i="1"/>
  <c r="L638" i="1" s="1"/>
  <c r="K945" i="1"/>
  <c r="L945" i="1" s="1"/>
  <c r="K620" i="1"/>
  <c r="L620" i="1" s="1"/>
  <c r="K750" i="1"/>
  <c r="L750" i="1" s="1"/>
  <c r="K380" i="1"/>
  <c r="L380" i="1" s="1"/>
  <c r="K636" i="1"/>
  <c r="L636" i="1" s="1"/>
  <c r="K853" i="1"/>
  <c r="L853" i="1" s="1"/>
  <c r="K545" i="1"/>
  <c r="L545" i="1" s="1"/>
  <c r="K109" i="1"/>
  <c r="L109" i="1" s="1"/>
  <c r="K281" i="1"/>
  <c r="L281" i="1" s="1"/>
  <c r="K282" i="1"/>
  <c r="L282" i="1" s="1"/>
  <c r="K310" i="1"/>
  <c r="L310" i="1" s="1"/>
  <c r="K337" i="1"/>
  <c r="L337" i="1" s="1"/>
  <c r="K575" i="1"/>
  <c r="L575" i="1" s="1"/>
  <c r="K874" i="1"/>
  <c r="L874" i="1" s="1"/>
  <c r="K120" i="1"/>
  <c r="L120" i="1" s="1"/>
  <c r="K500" i="1"/>
  <c r="L500" i="1" s="1"/>
  <c r="K429" i="1"/>
  <c r="L429" i="1" s="1"/>
  <c r="K898" i="1"/>
  <c r="L898" i="1" s="1"/>
  <c r="K876" i="1"/>
  <c r="L876" i="1" s="1"/>
  <c r="K751" i="1"/>
  <c r="L751" i="1" s="1"/>
  <c r="K134" i="1"/>
  <c r="L134" i="1" s="1"/>
  <c r="K276" i="1"/>
  <c r="L276" i="1" s="1"/>
  <c r="K312" i="1"/>
  <c r="L312" i="1" s="1"/>
  <c r="K135" i="1"/>
  <c r="L135" i="1" s="1"/>
  <c r="K621" i="1"/>
  <c r="L621" i="1" s="1"/>
  <c r="K980" i="1"/>
  <c r="L980" i="1" s="1"/>
  <c r="K646" i="1"/>
  <c r="L646" i="1" s="1"/>
  <c r="K501" i="1"/>
  <c r="L501" i="1" s="1"/>
  <c r="K171" i="1"/>
  <c r="L171" i="1" s="1"/>
  <c r="K475" i="1"/>
  <c r="L475" i="1" s="1"/>
  <c r="K700" i="1"/>
  <c r="L700" i="1" s="1"/>
  <c r="K680" i="1"/>
  <c r="L680" i="1" s="1"/>
  <c r="K812" i="1"/>
  <c r="L812" i="1" s="1"/>
  <c r="K113" i="1"/>
  <c r="L113" i="1" s="1"/>
  <c r="K690" i="1"/>
  <c r="L690" i="1" s="1"/>
  <c r="K528" i="1"/>
  <c r="L528" i="1" s="1"/>
  <c r="K763" i="1"/>
  <c r="L763" i="1" s="1"/>
  <c r="K413" i="1"/>
  <c r="L413" i="1" s="1"/>
  <c r="K966" i="1"/>
  <c r="L966" i="1" s="1"/>
  <c r="K946" i="1"/>
  <c r="L946" i="1" s="1"/>
  <c r="K53" i="1"/>
  <c r="L53" i="1" s="1"/>
  <c r="K546" i="1"/>
  <c r="L546" i="1" s="1"/>
  <c r="K967" i="1"/>
  <c r="L967" i="1" s="1"/>
  <c r="K651" i="1"/>
  <c r="L651" i="1" s="1"/>
  <c r="K860" i="1"/>
  <c r="L860" i="1" s="1"/>
  <c r="K465" i="1"/>
  <c r="L465" i="1" s="1"/>
  <c r="K42" i="1"/>
  <c r="L42" i="1" s="1"/>
  <c r="K502" i="1"/>
  <c r="L502" i="1" s="1"/>
  <c r="K451" i="1"/>
  <c r="L451" i="1" s="1"/>
  <c r="K503" i="1"/>
  <c r="L503" i="1" s="1"/>
  <c r="K813" i="1"/>
  <c r="L813" i="1" s="1"/>
  <c r="K155" i="1"/>
  <c r="L155" i="1" s="1"/>
  <c r="K493" i="1"/>
  <c r="L493" i="1" s="1"/>
  <c r="K674" i="1"/>
  <c r="L674" i="1" s="1"/>
  <c r="K25" i="1"/>
  <c r="L25" i="1" s="1"/>
  <c r="K12" i="1"/>
  <c r="L12" i="1" s="1"/>
  <c r="K342" i="1"/>
  <c r="L342" i="1" s="1"/>
  <c r="K926" i="1"/>
  <c r="L926" i="1" s="1"/>
  <c r="K746" i="1"/>
  <c r="L746" i="1" s="1"/>
  <c r="K54" i="1"/>
  <c r="L54" i="1" s="1"/>
  <c r="K385" i="1"/>
  <c r="L385" i="1" s="1"/>
  <c r="K8" i="1"/>
  <c r="L8" i="1" s="1"/>
  <c r="K77" i="1"/>
  <c r="L77" i="1" s="1"/>
  <c r="K948" i="1"/>
  <c r="L948" i="1" s="1"/>
  <c r="K13" i="1"/>
  <c r="L13" i="1" s="1"/>
  <c r="K67" i="1"/>
  <c r="L67" i="1" s="1"/>
  <c r="K136" i="1"/>
  <c r="L136" i="1" s="1"/>
  <c r="K362" i="1"/>
  <c r="L362" i="1" s="1"/>
  <c r="K730" i="1"/>
  <c r="L730" i="1" s="1"/>
  <c r="K1000" i="1"/>
  <c r="L1000" i="1" s="1"/>
  <c r="K26" i="1"/>
  <c r="L26" i="1" s="1"/>
  <c r="K141" i="1"/>
  <c r="L141" i="1" s="1"/>
  <c r="K529" i="1"/>
  <c r="L529" i="1" s="1"/>
  <c r="K27" i="1"/>
  <c r="L27" i="1" s="1"/>
  <c r="K982" i="1"/>
  <c r="L982" i="1" s="1"/>
  <c r="K454" i="1"/>
  <c r="L454" i="1" s="1"/>
  <c r="K115" i="1"/>
  <c r="L115" i="1" s="1"/>
  <c r="K969" i="1"/>
  <c r="L969" i="1" s="1"/>
  <c r="K2" i="1"/>
  <c r="L2" i="1" s="1"/>
  <c r="K200" i="1"/>
  <c r="L200" i="1" s="1"/>
  <c r="K253" i="1"/>
  <c r="L253" i="1" s="1"/>
  <c r="K989" i="1"/>
  <c r="L989" i="1" s="1"/>
  <c r="K586" i="1"/>
  <c r="L586" i="1" s="1"/>
  <c r="K283" i="1"/>
  <c r="L283" i="1" s="1"/>
  <c r="K44" i="1"/>
  <c r="L44" i="1" s="1"/>
  <c r="K878" i="1"/>
  <c r="L878" i="1" s="1"/>
  <c r="K343" i="1"/>
  <c r="L343" i="1" s="1"/>
  <c r="K709" i="1"/>
  <c r="L709" i="1" s="1"/>
  <c r="K456" i="1"/>
  <c r="L456" i="1" s="1"/>
  <c r="K285" i="1"/>
  <c r="L285" i="1" s="1"/>
  <c r="K190" i="1"/>
  <c r="L190" i="1" s="1"/>
  <c r="K416" i="1"/>
  <c r="L416" i="1" s="1"/>
  <c r="K363" i="1"/>
  <c r="L363" i="1" s="1"/>
  <c r="K787" i="1"/>
  <c r="L787" i="1" s="1"/>
  <c r="K710" i="1"/>
  <c r="L710" i="1" s="1"/>
  <c r="K552" i="1"/>
  <c r="L552" i="1" s="1"/>
  <c r="K55" i="1"/>
  <c r="L55" i="1" s="1"/>
  <c r="K5" i="1"/>
  <c r="L5" i="1" s="1"/>
  <c r="K84" i="1"/>
  <c r="L84" i="1" s="1"/>
  <c r="K344" i="1"/>
  <c r="L344" i="1" s="1"/>
  <c r="K833" i="1"/>
  <c r="L833" i="1" s="1"/>
  <c r="K22" i="1"/>
  <c r="L22" i="1" s="1"/>
  <c r="K735" i="1"/>
  <c r="L735" i="1" s="1"/>
  <c r="K994" i="1"/>
  <c r="L994" i="1" s="1"/>
  <c r="K90" i="1"/>
  <c r="L90" i="1" s="1"/>
  <c r="K286" i="1"/>
  <c r="L286" i="1" s="1"/>
  <c r="K683" i="1"/>
  <c r="L683" i="1" s="1"/>
  <c r="K10" i="1"/>
  <c r="L10" i="1" s="1"/>
  <c r="K91" i="1"/>
  <c r="L91" i="1" s="1"/>
  <c r="K627" i="1"/>
  <c r="L627" i="1" s="1"/>
  <c r="K606" i="1"/>
  <c r="L606" i="1" s="1"/>
  <c r="K20" i="1"/>
  <c r="L20" i="1" s="1"/>
  <c r="K45" i="1"/>
  <c r="L45" i="1" s="1"/>
  <c r="K548" i="1"/>
  <c r="L548" i="1" s="1"/>
  <c r="K879" i="1"/>
  <c r="L879" i="1" s="1"/>
  <c r="K990" i="1"/>
  <c r="L990" i="1" s="1"/>
  <c r="K183" i="1"/>
  <c r="L183" i="1" s="1"/>
  <c r="K997" i="1"/>
  <c r="L997" i="1" s="1"/>
  <c r="K47" i="1"/>
  <c r="L47" i="1" s="1"/>
  <c r="K835" i="1"/>
  <c r="L835" i="1" s="1"/>
  <c r="K417" i="1"/>
  <c r="L417" i="1" s="1"/>
  <c r="K352" i="1"/>
  <c r="L352" i="1" s="1"/>
  <c r="K731" i="1"/>
  <c r="L731" i="1" s="1"/>
  <c r="K3" i="1"/>
  <c r="L3" i="1" s="1"/>
  <c r="K246" i="1"/>
  <c r="L246" i="1" s="1"/>
  <c r="K562" i="1"/>
  <c r="L562" i="1" s="1"/>
  <c r="K598" i="1"/>
  <c r="L598" i="1" s="1"/>
  <c r="K142" i="1"/>
  <c r="L142" i="1" s="1"/>
  <c r="K772" i="1"/>
  <c r="L772" i="1" s="1"/>
  <c r="K301" i="1"/>
  <c r="L301" i="1" s="1"/>
  <c r="K954" i="1"/>
  <c r="L954" i="1" s="1"/>
  <c r="K855" i="1"/>
  <c r="L855" i="1" s="1"/>
  <c r="K507" i="1"/>
  <c r="L507" i="1" s="1"/>
  <c r="K910" i="1"/>
  <c r="L910" i="1" s="1"/>
  <c r="K400" i="1"/>
  <c r="L400" i="1" s="1"/>
  <c r="K401" i="1"/>
  <c r="L401" i="1" s="1"/>
  <c r="K588" i="1"/>
  <c r="L588" i="1" s="1"/>
  <c r="K806" i="1"/>
  <c r="L806" i="1" s="1"/>
  <c r="K807" i="1"/>
  <c r="L807" i="1" s="1"/>
  <c r="K117" i="1"/>
  <c r="L117" i="1" s="1"/>
  <c r="K325" i="1"/>
  <c r="L325" i="1" s="1"/>
  <c r="K628" i="1"/>
  <c r="L628" i="1" s="1"/>
  <c r="K205" i="1"/>
  <c r="L205" i="1" s="1"/>
  <c r="K865" i="1"/>
  <c r="L865" i="1" s="1"/>
  <c r="K166" i="1"/>
  <c r="L166" i="1" s="1"/>
  <c r="K459" i="1"/>
  <c r="L459" i="1" s="1"/>
  <c r="K346" i="1"/>
  <c r="L346" i="1" s="1"/>
  <c r="K880" i="1"/>
  <c r="L880" i="1" s="1"/>
  <c r="K23" i="1"/>
  <c r="L23" i="1" s="1"/>
  <c r="K423" i="1"/>
  <c r="L423" i="1" s="1"/>
  <c r="K143" i="1"/>
  <c r="L143" i="1" s="1"/>
  <c r="K891" i="1"/>
  <c r="L891" i="1" s="1"/>
  <c r="K629" i="1"/>
  <c r="L629" i="1" s="1"/>
  <c r="K161" i="1"/>
  <c r="L161" i="1" s="1"/>
  <c r="K303" i="1"/>
  <c r="L303" i="1" s="1"/>
  <c r="K326" i="1"/>
  <c r="L326" i="1" s="1"/>
  <c r="K856" i="1"/>
  <c r="L856" i="1" s="1"/>
  <c r="K29" i="1"/>
  <c r="L29" i="1" s="1"/>
  <c r="K549" i="1"/>
  <c r="L549" i="1" s="1"/>
  <c r="K313" i="1"/>
  <c r="L313" i="1" s="1"/>
  <c r="K194" i="1"/>
  <c r="L194" i="1" s="1"/>
  <c r="K938" i="1"/>
  <c r="L938" i="1" s="1"/>
  <c r="K383" i="1"/>
  <c r="L383" i="1" s="1"/>
  <c r="K6" i="1"/>
  <c r="L6" i="1" s="1"/>
  <c r="K137" i="1"/>
  <c r="L137" i="1" s="1"/>
  <c r="K28" i="1"/>
  <c r="L28" i="1" s="1"/>
  <c r="K589" i="1"/>
  <c r="L589" i="1" s="1"/>
  <c r="K9" i="1"/>
  <c r="L9" i="1" s="1"/>
  <c r="K927" i="1"/>
  <c r="L927" i="1" s="1"/>
  <c r="K655" i="1"/>
  <c r="L655" i="1" s="1"/>
  <c r="K257" i="1"/>
  <c r="L257" i="1" s="1"/>
  <c r="K209" i="1"/>
  <c r="L209" i="1" s="1"/>
  <c r="K563" i="1"/>
  <c r="L563" i="1" s="1"/>
  <c r="K87" i="1"/>
  <c r="L87" i="1" s="1"/>
  <c r="K538" i="1"/>
  <c r="L538" i="1" s="1"/>
  <c r="K129" i="1"/>
  <c r="L129" i="1" s="1"/>
  <c r="K939" i="1"/>
  <c r="L939" i="1" s="1"/>
  <c r="K998" i="1"/>
  <c r="L998" i="1" s="1"/>
  <c r="K894" i="1"/>
  <c r="L894" i="1" s="1"/>
  <c r="K31" i="1"/>
  <c r="L31" i="1" s="1"/>
  <c r="K916" i="1"/>
  <c r="L916" i="1" s="1"/>
  <c r="K32" i="1"/>
  <c r="L32" i="1" s="1"/>
  <c r="K895" i="1"/>
  <c r="L895" i="1" s="1"/>
  <c r="K631" i="1"/>
  <c r="L631" i="1" s="1"/>
  <c r="K667" i="1"/>
  <c r="L667" i="1" s="1"/>
  <c r="K68" i="1"/>
  <c r="L68" i="1" s="1"/>
  <c r="K976" i="1"/>
  <c r="L976" i="1" s="1"/>
  <c r="K668" i="1"/>
  <c r="L668" i="1" s="1"/>
  <c r="K940" i="1"/>
  <c r="L940" i="1" s="1"/>
  <c r="K509" i="1"/>
  <c r="L509" i="1" s="1"/>
  <c r="K797" i="1"/>
  <c r="L797" i="1" s="1"/>
  <c r="K896" i="1"/>
  <c r="L896" i="1" s="1"/>
  <c r="K881" i="1"/>
  <c r="L881" i="1" s="1"/>
  <c r="K706" i="1"/>
  <c r="L706" i="1" s="1"/>
  <c r="K985" i="1"/>
  <c r="L985" i="1" s="1"/>
  <c r="K866" i="1"/>
  <c r="L866" i="1" s="1"/>
  <c r="K956" i="1"/>
  <c r="L956" i="1" s="1"/>
  <c r="K210" i="1"/>
  <c r="L210" i="1" s="1"/>
  <c r="K632" i="1"/>
  <c r="L632" i="1" s="1"/>
  <c r="K88" i="1"/>
  <c r="L88" i="1" s="1"/>
  <c r="K92" i="1"/>
  <c r="L92" i="1" s="1"/>
  <c r="K314" i="1"/>
  <c r="L314" i="1" s="1"/>
  <c r="K555" i="1"/>
  <c r="L555" i="1" s="1"/>
  <c r="K901" i="1"/>
  <c r="L901" i="1" s="1"/>
  <c r="K657" i="1"/>
  <c r="L657" i="1" s="1"/>
  <c r="K698" i="1"/>
  <c r="L698" i="1" s="1"/>
  <c r="K69" i="1"/>
  <c r="L69" i="1" s="1"/>
  <c r="K89" i="1"/>
  <c r="L89" i="1" s="1"/>
  <c r="K867" i="1"/>
  <c r="L867" i="1" s="1"/>
  <c r="K167" i="1"/>
  <c r="L167" i="1" s="1"/>
  <c r="K670" i="1"/>
  <c r="L670" i="1" s="1"/>
  <c r="K699" i="1"/>
  <c r="L699" i="1" s="1"/>
  <c r="K406" i="1"/>
  <c r="L406" i="1" s="1"/>
  <c r="K868" i="1"/>
  <c r="L868" i="1" s="1"/>
  <c r="K309" i="1"/>
  <c r="L309" i="1" s="1"/>
  <c r="K223" i="1"/>
  <c r="L223" i="1" s="1"/>
  <c r="K462" i="1"/>
  <c r="L462" i="1" s="1"/>
  <c r="K1001" i="1"/>
  <c r="L1001" i="1" s="1"/>
  <c r="K407" i="1"/>
  <c r="L407" i="1" s="1"/>
  <c r="K744" i="1"/>
  <c r="L744" i="1" s="1"/>
  <c r="K11" i="1"/>
  <c r="L11" i="1" s="1"/>
  <c r="K261" i="1"/>
  <c r="L261" i="1" s="1"/>
  <c r="K526" i="1"/>
  <c r="L526" i="1" s="1"/>
  <c r="K491" i="1"/>
  <c r="L491" i="1" s="1"/>
  <c r="K510" i="1"/>
  <c r="L510" i="1" s="1"/>
  <c r="K51" i="1"/>
  <c r="L51" i="1" s="1"/>
  <c r="K393" i="1"/>
  <c r="L393" i="1" s="1"/>
  <c r="K732" i="1"/>
  <c r="L732" i="1" s="1"/>
  <c r="K14" i="1"/>
  <c r="L14" i="1" s="1"/>
  <c r="K213" i="1"/>
  <c r="L213" i="1" s="1"/>
  <c r="K662" i="1"/>
  <c r="L662" i="1" s="1"/>
  <c r="K78" i="1"/>
  <c r="L78" i="1" s="1"/>
  <c r="K214" i="1"/>
  <c r="L214" i="1" s="1"/>
  <c r="K410" i="1"/>
  <c r="L410" i="1" s="1"/>
  <c r="K169" i="1"/>
  <c r="L169" i="1" s="1"/>
  <c r="K672" i="1"/>
  <c r="L672" i="1" s="1"/>
  <c r="K315" i="1"/>
  <c r="L315" i="1" s="1"/>
  <c r="K7" i="1"/>
  <c r="L7" i="1" s="1"/>
  <c r="K70" i="1"/>
  <c r="L70" i="1" s="1"/>
  <c r="K19" i="1"/>
  <c r="L19" i="1" s="1"/>
  <c r="K79" i="1"/>
  <c r="L79" i="1" s="1"/>
  <c r="K492" i="1"/>
  <c r="L492" i="1" s="1"/>
  <c r="K474" i="1"/>
  <c r="L474" i="1" s="1"/>
  <c r="K4" i="1"/>
  <c r="L4" i="1" s="1"/>
  <c r="K635" i="1"/>
  <c r="L635" i="1" s="1"/>
  <c r="K30" i="1"/>
  <c r="L30" i="1" s="1"/>
  <c r="K249" i="1"/>
  <c r="L249" i="1" s="1"/>
  <c r="K556" i="1"/>
  <c r="L556" i="1" s="1"/>
  <c r="K591" i="1"/>
  <c r="L591" i="1" s="1"/>
  <c r="K872" i="1"/>
  <c r="L872" i="1" s="1"/>
  <c r="K196" i="1"/>
  <c r="L196" i="1" s="1"/>
  <c r="K464" i="1"/>
  <c r="L464" i="1" s="1"/>
  <c r="K80" i="1"/>
  <c r="L80" i="1" s="1"/>
  <c r="K15" i="1"/>
  <c r="L15" i="1" s="1"/>
  <c r="K773" i="1"/>
  <c r="L773" i="1" s="1"/>
  <c r="K16" i="1"/>
  <c r="L16" i="1" s="1"/>
  <c r="K395" i="1"/>
  <c r="L395" i="1" s="1"/>
  <c r="K592" i="1"/>
  <c r="L592" i="1" s="1"/>
  <c r="K357" i="1"/>
  <c r="L357" i="1" s="1"/>
  <c r="K418" i="1"/>
  <c r="L418" i="1" s="1"/>
  <c r="K793" i="1"/>
  <c r="L793" i="1" s="1"/>
  <c r="K250" i="1"/>
  <c r="L250" i="1" s="1"/>
  <c r="K707" i="1"/>
  <c r="L707" i="1" s="1"/>
  <c r="K133" i="1"/>
  <c r="L133" i="1" s="1"/>
  <c r="K618" i="1"/>
  <c r="L618" i="1" s="1"/>
  <c r="K919" i="1"/>
  <c r="L919" i="1" s="1"/>
  <c r="K873" i="1"/>
  <c r="L873" i="1" s="1"/>
  <c r="K24" i="1"/>
  <c r="L24" i="1" s="1"/>
  <c r="K902" i="1"/>
  <c r="L902" i="1" s="1"/>
  <c r="K811" i="1"/>
  <c r="L811" i="1" s="1"/>
  <c r="K21" i="1"/>
  <c r="L21" i="1" s="1"/>
  <c r="K319" i="1"/>
  <c r="L319" i="1" s="1"/>
  <c r="K875" i="1"/>
  <c r="L875" i="1" s="1"/>
  <c r="K17" i="1"/>
  <c r="L17" i="1" s="1"/>
  <c r="K316" i="1"/>
  <c r="L316" i="1" s="1"/>
  <c r="K311" i="1"/>
  <c r="L311" i="1" s="1"/>
  <c r="K986" i="1"/>
  <c r="L986" i="1" s="1"/>
  <c r="K912" i="1"/>
  <c r="L912" i="1" s="1"/>
  <c r="K689" i="1"/>
  <c r="L689" i="1" s="1"/>
  <c r="K71" i="1"/>
  <c r="L71" i="1" s="1"/>
  <c r="K419" i="1"/>
  <c r="L419" i="1" s="1"/>
  <c r="K999" i="1"/>
  <c r="L999" i="1" s="1"/>
  <c r="K800" i="1"/>
  <c r="L800" i="1" s="1"/>
  <c r="K320" i="1"/>
  <c r="L320" i="1" s="1"/>
  <c r="K138" i="1"/>
  <c r="L138" i="1" s="1"/>
  <c r="K782" i="1"/>
  <c r="L782" i="1" s="1"/>
  <c r="K430" i="1"/>
  <c r="L430" i="1" s="1"/>
  <c r="K172" i="1"/>
  <c r="L172" i="1" s="1"/>
  <c r="K414" i="1"/>
  <c r="L414" i="1" s="1"/>
  <c r="K415" i="1"/>
  <c r="L415" i="1" s="1"/>
  <c r="K18" i="1"/>
  <c r="L18" i="1" s="1"/>
  <c r="K72" i="1"/>
  <c r="L72" i="1" s="1"/>
  <c r="K993" i="1"/>
  <c r="L993" i="1" s="1"/>
  <c r="K996" i="1"/>
  <c r="L996" i="1" s="1"/>
  <c r="K906" i="1"/>
  <c r="C906" i="1"/>
  <c r="C846" i="1"/>
  <c r="C298" i="1"/>
  <c r="C701" i="1"/>
  <c r="C327" i="1"/>
  <c r="C861" i="1"/>
  <c r="C299" i="1"/>
  <c r="C114" i="1"/>
  <c r="C146" i="1"/>
  <c r="C928" i="1"/>
  <c r="C786" i="1"/>
  <c r="C935" i="1"/>
  <c r="C623" i="1"/>
  <c r="C186" i="1"/>
  <c r="C823" i="1"/>
  <c r="C56" i="1"/>
  <c r="C81" i="1"/>
  <c r="C720" i="1"/>
  <c r="C384" i="1"/>
  <c r="C252" i="1"/>
  <c r="C420" i="1"/>
  <c r="C441" i="1"/>
  <c r="C175" i="1"/>
  <c r="C702" i="1"/>
  <c r="C647" i="1"/>
  <c r="C767" i="1"/>
  <c r="C431" i="1"/>
  <c r="C243" i="1"/>
  <c r="C558" i="1"/>
  <c r="C640" i="1"/>
  <c r="C624" i="1"/>
  <c r="C484" i="1"/>
  <c r="C758" i="1"/>
  <c r="C198" i="1"/>
  <c r="C321" i="1"/>
  <c r="C840" i="1"/>
  <c r="C25" i="1"/>
  <c r="C12" i="1"/>
  <c r="C342" i="1"/>
  <c r="C926" i="1"/>
  <c r="C746" i="1"/>
  <c r="C54" i="1"/>
  <c r="C385" i="1"/>
  <c r="C8" i="1"/>
  <c r="C77" i="1"/>
  <c r="C948" i="1"/>
  <c r="C13" i="1"/>
  <c r="C67" i="1"/>
  <c r="C136" i="1"/>
  <c r="C362" i="1"/>
  <c r="C639" i="1"/>
  <c r="C622" i="1"/>
  <c r="C764" i="1"/>
  <c r="C877" i="1"/>
  <c r="C754" i="1"/>
  <c r="C511" i="1"/>
  <c r="C173" i="1"/>
  <c r="C240" i="1"/>
  <c r="C482" i="1"/>
  <c r="C557" i="1"/>
  <c r="C126" i="1"/>
  <c r="C802" i="1"/>
  <c r="C774" i="1"/>
  <c r="C794" i="1"/>
  <c r="C682" i="1"/>
  <c r="C949" i="1"/>
  <c r="C711" i="1"/>
  <c r="C531" i="1"/>
  <c r="C43" i="1"/>
  <c r="C220" i="1"/>
  <c r="C803" i="1"/>
  <c r="C579" i="1"/>
  <c r="C559" i="1"/>
  <c r="C476" i="1"/>
  <c r="C504" i="1"/>
  <c r="C350" i="1"/>
  <c r="C550" i="1"/>
  <c r="C958" i="1"/>
  <c r="C373" i="1"/>
  <c r="C841" i="1"/>
  <c r="C943" i="1"/>
  <c r="C176" i="1"/>
  <c r="C333" i="1"/>
  <c r="C365" i="1"/>
  <c r="C768" i="1"/>
  <c r="C147" i="1"/>
  <c r="C817" i="1"/>
  <c r="C824" i="1"/>
  <c r="C712" i="1"/>
  <c r="C968" i="1"/>
  <c r="C432" i="1"/>
  <c r="C721" i="1"/>
  <c r="C397" i="1"/>
  <c r="C854" i="1"/>
  <c r="C676" i="1"/>
  <c r="C641" i="1"/>
  <c r="C433" i="1"/>
  <c r="C929" i="1"/>
  <c r="C100" i="1"/>
  <c r="C374" i="1"/>
  <c r="C101" i="1"/>
  <c r="C713" i="1"/>
  <c r="C421" i="1"/>
  <c r="C199" i="1"/>
  <c r="C730" i="1"/>
  <c r="C1000" i="1"/>
  <c r="C26" i="1"/>
  <c r="C141" i="1"/>
  <c r="C529" i="1"/>
  <c r="C27" i="1"/>
  <c r="C982" i="1"/>
  <c r="C454" i="1"/>
  <c r="C115" i="1"/>
  <c r="C969" i="1"/>
  <c r="C2" i="1"/>
  <c r="C200" i="1"/>
  <c r="C253" i="1"/>
  <c r="C989" i="1"/>
  <c r="C586" i="1"/>
  <c r="C283" i="1"/>
  <c r="C398" i="1"/>
  <c r="C328" i="1"/>
  <c r="C396" i="1"/>
  <c r="C184" i="1"/>
  <c r="C547" i="1"/>
  <c r="C593" i="1"/>
  <c r="C771" i="1"/>
  <c r="C359" i="1"/>
  <c r="C909" i="1"/>
  <c r="C708" i="1"/>
  <c r="C284" i="1"/>
  <c r="C752" i="1"/>
  <c r="C696" i="1"/>
  <c r="C580" i="1"/>
  <c r="C505" i="1"/>
  <c r="C970" i="1"/>
  <c r="C540" i="1"/>
  <c r="C201" i="1"/>
  <c r="C127" i="1"/>
  <c r="C163" i="1"/>
  <c r="C567" i="1"/>
  <c r="C847" i="1"/>
  <c r="C399" i="1"/>
  <c r="C691" i="1"/>
  <c r="C366" i="1"/>
  <c r="C455" i="1"/>
  <c r="C648" i="1"/>
  <c r="C551" i="1"/>
  <c r="C733" i="1"/>
  <c r="C625" i="1"/>
  <c r="C102" i="1"/>
  <c r="C177" i="1"/>
  <c r="C930" i="1"/>
  <c r="C649" i="1"/>
  <c r="C156" i="1"/>
  <c r="C226" i="1"/>
  <c r="C609" i="1"/>
  <c r="C110" i="1"/>
  <c r="C692" i="1"/>
  <c r="C664" i="1"/>
  <c r="C347" i="1"/>
  <c r="C864" i="1"/>
  <c r="C714" i="1"/>
  <c r="C111" i="1"/>
  <c r="C82" i="1"/>
  <c r="C693" i="1"/>
  <c r="C322" i="1"/>
  <c r="C116" i="1"/>
  <c r="C626" i="1"/>
  <c r="C83" i="1"/>
  <c r="C532" i="1"/>
  <c r="C959" i="1"/>
  <c r="C513" i="1"/>
  <c r="C825" i="1"/>
  <c r="C842" i="1"/>
  <c r="C884" i="1"/>
  <c r="C375" i="1"/>
  <c r="C44" i="1"/>
  <c r="C878" i="1"/>
  <c r="C343" i="1"/>
  <c r="C709" i="1"/>
  <c r="C456" i="1"/>
  <c r="C285" i="1"/>
  <c r="C190" i="1"/>
  <c r="C416" i="1"/>
  <c r="C363" i="1"/>
  <c r="C787" i="1"/>
  <c r="C710" i="1"/>
  <c r="C552" i="1"/>
  <c r="C55" i="1"/>
  <c r="C5" i="1"/>
  <c r="C84" i="1"/>
  <c r="C344" i="1"/>
  <c r="C833" i="1"/>
  <c r="C22" i="1"/>
  <c r="C364" i="1"/>
  <c r="C483" i="1"/>
  <c r="C899" i="1"/>
  <c r="C244" i="1"/>
  <c r="C197" i="1"/>
  <c r="C512" i="1"/>
  <c r="C317" i="1"/>
  <c r="C231" i="1"/>
  <c r="C103" i="1"/>
  <c r="C936" i="1"/>
  <c r="C434" i="1"/>
  <c r="C769" i="1"/>
  <c r="C722" i="1"/>
  <c r="C514" i="1"/>
  <c r="C931" i="1"/>
  <c r="C560" i="1"/>
  <c r="C238" i="1"/>
  <c r="C950" i="1"/>
  <c r="C221" i="1"/>
  <c r="C971" i="1"/>
  <c r="C202" i="1"/>
  <c r="C178" i="1"/>
  <c r="C775" i="1"/>
  <c r="C610" i="1"/>
  <c r="C245" i="1"/>
  <c r="C653" i="1"/>
  <c r="C703" i="1"/>
  <c r="C515" i="1"/>
  <c r="C73" i="1"/>
  <c r="C203" i="1"/>
  <c r="C128" i="1"/>
  <c r="C494" i="1"/>
  <c r="C323" i="1"/>
  <c r="C594" i="1"/>
  <c r="C951" i="1"/>
  <c r="C932" i="1"/>
  <c r="C734" i="1"/>
  <c r="C435" i="1"/>
  <c r="C843" i="1"/>
  <c r="C735" i="1"/>
  <c r="C994" i="1"/>
  <c r="C90" i="1"/>
  <c r="C286" i="1"/>
  <c r="C683" i="1"/>
  <c r="C10" i="1"/>
  <c r="C91" i="1"/>
  <c r="C627" i="1"/>
  <c r="C606" i="1"/>
  <c r="C20" i="1"/>
  <c r="C45" i="1"/>
  <c r="C981" i="1"/>
  <c r="C587" i="1"/>
  <c r="C882" i="1"/>
  <c r="C351" i="1"/>
  <c r="C920" i="1"/>
  <c r="C934" i="1"/>
  <c r="C728" i="1"/>
  <c r="C987" i="1"/>
  <c r="C382" i="1"/>
  <c r="C331" i="1"/>
  <c r="C983" i="1"/>
  <c r="C530" i="1"/>
  <c r="C785" i="1"/>
  <c r="C923" i="1"/>
  <c r="C952" i="1"/>
  <c r="C187" i="1"/>
  <c r="C611" i="1"/>
  <c r="C715" i="1"/>
  <c r="C74" i="1"/>
  <c r="C568" i="1"/>
  <c r="C776" i="1"/>
  <c r="C914" i="1"/>
  <c r="C93" i="1"/>
  <c r="C85" i="1"/>
  <c r="C834" i="1"/>
  <c r="C937" i="1"/>
  <c r="C466" i="1"/>
  <c r="C422" i="1"/>
  <c r="C736" i="1"/>
  <c r="C737" i="1"/>
  <c r="C516" i="1"/>
  <c r="C324" i="1"/>
  <c r="C477" i="1"/>
  <c r="C485" i="1"/>
  <c r="C254" i="1"/>
  <c r="C277" i="1"/>
  <c r="C164" i="1"/>
  <c r="C612" i="1"/>
  <c r="C654" i="1"/>
  <c r="C457" i="1"/>
  <c r="C595" i="1"/>
  <c r="C148" i="1"/>
  <c r="C467" i="1"/>
  <c r="C191" i="1"/>
  <c r="C553" i="1"/>
  <c r="C495" i="1"/>
  <c r="C46" i="1"/>
  <c r="C57" i="1"/>
  <c r="C569" i="1"/>
  <c r="C747" i="1"/>
  <c r="C596" i="1"/>
  <c r="C972" i="1"/>
  <c r="C613" i="1"/>
  <c r="C637" i="1"/>
  <c r="C334" i="1"/>
  <c r="C478" i="1"/>
  <c r="C506" i="1"/>
  <c r="C804" i="1"/>
  <c r="C973" i="1"/>
  <c r="C367" i="1"/>
  <c r="C255" i="1"/>
  <c r="C386" i="1"/>
  <c r="C496" i="1"/>
  <c r="C59" i="1"/>
  <c r="C94" i="1"/>
  <c r="C548" i="1"/>
  <c r="C879" i="1"/>
  <c r="C990" i="1"/>
  <c r="C183" i="1"/>
  <c r="C997" i="1"/>
  <c r="C47" i="1"/>
  <c r="C835" i="1"/>
  <c r="C417" i="1"/>
  <c r="C352" i="1"/>
  <c r="C731" i="1"/>
  <c r="C287" i="1"/>
  <c r="C387" i="1"/>
  <c r="C984" i="1"/>
  <c r="C297" i="1"/>
  <c r="C953" i="1"/>
  <c r="C345" i="1"/>
  <c r="C360" i="1"/>
  <c r="C921" i="1"/>
  <c r="C561" i="1"/>
  <c r="C300" i="1"/>
  <c r="C885" i="1"/>
  <c r="C442" i="1"/>
  <c r="C227" i="1"/>
  <c r="C149" i="1"/>
  <c r="C157" i="1"/>
  <c r="C694" i="1"/>
  <c r="C581" i="1"/>
  <c r="C642" i="1"/>
  <c r="C614" i="1"/>
  <c r="C665" i="1"/>
  <c r="C570" i="1"/>
  <c r="C738" i="1"/>
  <c r="C597" i="1"/>
  <c r="C60" i="1"/>
  <c r="C443" i="1"/>
  <c r="C288" i="1"/>
  <c r="C376" i="1"/>
  <c r="C33" i="1"/>
  <c r="C643" i="1"/>
  <c r="C48" i="1"/>
  <c r="C517" i="1"/>
  <c r="C571" i="1"/>
  <c r="C818" i="1"/>
  <c r="C158" i="1"/>
  <c r="C486" i="1"/>
  <c r="C819" i="1"/>
  <c r="C3" i="1"/>
  <c r="C246" i="1"/>
  <c r="C562" i="1"/>
  <c r="C598" i="1"/>
  <c r="C142" i="1"/>
  <c r="C772" i="1"/>
  <c r="C301" i="1"/>
  <c r="C954" i="1"/>
  <c r="C855" i="1"/>
  <c r="C765" i="1"/>
  <c r="C388" i="1"/>
  <c r="C269" i="1"/>
  <c r="C729" i="1"/>
  <c r="C270" i="1"/>
  <c r="C219" i="1"/>
  <c r="C814" i="1"/>
  <c r="C222" i="1"/>
  <c r="C444" i="1"/>
  <c r="C468" i="1"/>
  <c r="C933" i="1"/>
  <c r="C159" i="1"/>
  <c r="C447" i="1"/>
  <c r="C75" i="1"/>
  <c r="C160" i="1"/>
  <c r="C86" i="1"/>
  <c r="C788" i="1"/>
  <c r="C165" i="1"/>
  <c r="C805" i="1"/>
  <c r="C289" i="1"/>
  <c r="C458" i="1"/>
  <c r="C290" i="1"/>
  <c r="C848" i="1"/>
  <c r="C507" i="1"/>
  <c r="C910" i="1"/>
  <c r="C400" i="1"/>
  <c r="C401" i="1"/>
  <c r="C588" i="1"/>
  <c r="C806" i="1"/>
  <c r="C807" i="1"/>
  <c r="C578" i="1"/>
  <c r="C192" i="1"/>
  <c r="C402" i="1"/>
  <c r="C487" i="1"/>
  <c r="C389" i="1"/>
  <c r="C204" i="1"/>
  <c r="C256" i="1"/>
  <c r="C615" i="1"/>
  <c r="C61" i="1"/>
  <c r="C121" i="1"/>
  <c r="C104" i="1"/>
  <c r="C789" i="1"/>
  <c r="C117" i="1"/>
  <c r="C325" i="1"/>
  <c r="C628" i="1"/>
  <c r="C862" i="1"/>
  <c r="C821" i="1"/>
  <c r="C766" i="1"/>
  <c r="C900" i="1"/>
  <c r="C599" i="1"/>
  <c r="C955" i="1"/>
  <c r="C716" i="1"/>
  <c r="C62" i="1"/>
  <c r="C826" i="1"/>
  <c r="C684" i="1"/>
  <c r="C790" i="1"/>
  <c r="C890" i="1"/>
  <c r="C518" i="1"/>
  <c r="C723" i="1"/>
  <c r="C974" i="1"/>
  <c r="C795" i="1"/>
  <c r="C479" i="1"/>
  <c r="C112" i="1"/>
  <c r="C572" i="1"/>
  <c r="C677" i="1"/>
  <c r="C95" i="1"/>
  <c r="C265" i="1"/>
  <c r="C105" i="1"/>
  <c r="C903" i="1"/>
  <c r="C122" i="1"/>
  <c r="C717" i="1"/>
  <c r="C34" i="1"/>
  <c r="C904" i="1"/>
  <c r="C96" i="1"/>
  <c r="C759" i="1"/>
  <c r="C205" i="1"/>
  <c r="C865" i="1"/>
  <c r="C166" i="1"/>
  <c r="C459" i="1"/>
  <c r="C346" i="1"/>
  <c r="C880" i="1"/>
  <c r="C23" i="1"/>
  <c r="C423" i="1"/>
  <c r="C143" i="1"/>
  <c r="C891" i="1"/>
  <c r="C232" i="1"/>
  <c r="C863" i="1"/>
  <c r="C460" i="1"/>
  <c r="C241" i="1"/>
  <c r="C607" i="1"/>
  <c r="C403" i="1"/>
  <c r="C97" i="1"/>
  <c r="C616" i="1"/>
  <c r="C302" i="1"/>
  <c r="C666" i="1"/>
  <c r="C206" i="1"/>
  <c r="C335" i="1"/>
  <c r="C179" i="1"/>
  <c r="C678" i="1"/>
  <c r="C836" i="1"/>
  <c r="C377" i="1"/>
  <c r="C573" i="1"/>
  <c r="C63" i="1"/>
  <c r="C704" i="1"/>
  <c r="C644" i="1"/>
  <c r="C424" i="1"/>
  <c r="C915" i="1"/>
  <c r="C617" i="1"/>
  <c r="C278" i="1"/>
  <c r="C629" i="1"/>
  <c r="C161" i="1"/>
  <c r="C303" i="1"/>
  <c r="C326" i="1"/>
  <c r="C856" i="1"/>
  <c r="C29" i="1"/>
  <c r="C361" i="1"/>
  <c r="C886" i="1"/>
  <c r="C822" i="1"/>
  <c r="C924" i="1"/>
  <c r="C783" i="1"/>
  <c r="C604" i="1"/>
  <c r="C291" i="1"/>
  <c r="C279" i="1"/>
  <c r="C266" i="1"/>
  <c r="C98" i="1"/>
  <c r="C304" i="1"/>
  <c r="C739" i="1"/>
  <c r="C740" i="1"/>
  <c r="C892" i="1"/>
  <c r="C600" i="1"/>
  <c r="C582" i="1"/>
  <c r="C425" i="1"/>
  <c r="C123" i="1"/>
  <c r="C207" i="1"/>
  <c r="C685" i="1"/>
  <c r="C827" i="1"/>
  <c r="C208" i="1"/>
  <c r="C193" i="1"/>
  <c r="C390" i="1"/>
  <c r="C445" i="1"/>
  <c r="C469" i="1"/>
  <c r="C305" i="1"/>
  <c r="C404" i="1"/>
  <c r="C519" i="1"/>
  <c r="C488" i="1"/>
  <c r="C106" i="1"/>
  <c r="C448" i="1"/>
  <c r="C49" i="1"/>
  <c r="C64" i="1"/>
  <c r="C188" i="1"/>
  <c r="C353" i="1"/>
  <c r="C549" i="1"/>
  <c r="C313" i="1"/>
  <c r="C194" i="1"/>
  <c r="C938" i="1"/>
  <c r="C383" i="1"/>
  <c r="C6" i="1"/>
  <c r="C137" i="1"/>
  <c r="C28" i="1"/>
  <c r="C589" i="1"/>
  <c r="C9" i="1"/>
  <c r="C927" i="1"/>
  <c r="C655" i="1"/>
  <c r="C257" i="1"/>
  <c r="C209" i="1"/>
  <c r="C837" i="1"/>
  <c r="C857" i="1"/>
  <c r="C753" i="1"/>
  <c r="C727" i="1"/>
  <c r="C755" i="1"/>
  <c r="C329" i="1"/>
  <c r="C340" i="1"/>
  <c r="C960" i="1"/>
  <c r="C271" i="1"/>
  <c r="C686" i="1"/>
  <c r="C520" i="1"/>
  <c r="C470" i="1"/>
  <c r="C449" i="1"/>
  <c r="C630" i="1"/>
  <c r="C533" i="1"/>
  <c r="C189" i="1"/>
  <c r="C497" i="1"/>
  <c r="C272" i="1"/>
  <c r="C99" i="1"/>
  <c r="C498" i="1"/>
  <c r="C280" i="1"/>
  <c r="C267" i="1"/>
  <c r="C697" i="1"/>
  <c r="C348" i="1"/>
  <c r="C471" i="1"/>
  <c r="C583" i="1"/>
  <c r="C844" i="1"/>
  <c r="C354" i="1"/>
  <c r="C893" i="1"/>
  <c r="C541" i="1"/>
  <c r="C695" i="1"/>
  <c r="C306" i="1"/>
  <c r="C679" i="1"/>
  <c r="C228" i="1"/>
  <c r="C563" i="1"/>
  <c r="C87" i="1"/>
  <c r="C538" i="1"/>
  <c r="C129" i="1"/>
  <c r="C939" i="1"/>
  <c r="C998" i="1"/>
  <c r="C894" i="1"/>
  <c r="C31" i="1"/>
  <c r="C916" i="1"/>
  <c r="C32" i="1"/>
  <c r="C895" i="1"/>
  <c r="C242" i="1"/>
  <c r="C144" i="1"/>
  <c r="C988" i="1"/>
  <c r="C605" i="1"/>
  <c r="C791" i="1"/>
  <c r="C991" i="1"/>
  <c r="C381" i="1"/>
  <c r="C370" i="1"/>
  <c r="C645" i="1"/>
  <c r="C741" i="1"/>
  <c r="C150" i="1"/>
  <c r="C534" i="1"/>
  <c r="C151" i="1"/>
  <c r="C542" i="1"/>
  <c r="C796" i="1"/>
  <c r="C180" i="1"/>
  <c r="C307" i="1"/>
  <c r="C233" i="1"/>
  <c r="C849" i="1"/>
  <c r="C308" i="1"/>
  <c r="C705" i="1"/>
  <c r="C292" i="1"/>
  <c r="C35" i="1"/>
  <c r="C162" i="1"/>
  <c r="C118" i="1"/>
  <c r="C724" i="1"/>
  <c r="C742" i="1"/>
  <c r="C130" i="1"/>
  <c r="C472" i="1"/>
  <c r="C961" i="1"/>
  <c r="C107" i="1"/>
  <c r="C508" i="1"/>
  <c r="C293" i="1"/>
  <c r="C124" i="1"/>
  <c r="C777" i="1"/>
  <c r="C975" i="1"/>
  <c r="C631" i="1"/>
  <c r="C667" i="1"/>
  <c r="C68" i="1"/>
  <c r="C976" i="1"/>
  <c r="C668" i="1"/>
  <c r="C940" i="1"/>
  <c r="C509" i="1"/>
  <c r="C797" i="1"/>
  <c r="C896" i="1"/>
  <c r="C881" i="1"/>
  <c r="C706" i="1"/>
  <c r="C985" i="1"/>
  <c r="C866" i="1"/>
  <c r="C956" i="1"/>
  <c r="C210" i="1"/>
  <c r="C632" i="1"/>
  <c r="C88" i="1"/>
  <c r="C92" i="1"/>
  <c r="C314" i="1"/>
  <c r="C887" i="1"/>
  <c r="C452" i="1"/>
  <c r="C341" i="1"/>
  <c r="C756" i="1"/>
  <c r="C426" i="1"/>
  <c r="C947" i="1"/>
  <c r="C355" i="1"/>
  <c r="C942" i="1"/>
  <c r="C838" i="1"/>
  <c r="C590" i="1"/>
  <c r="C139" i="1"/>
  <c r="C461" i="1"/>
  <c r="C36" i="1"/>
  <c r="C247" i="1"/>
  <c r="C962" i="1"/>
  <c r="C211" i="1"/>
  <c r="C543" i="1"/>
  <c r="C234" i="1"/>
  <c r="C50" i="1"/>
  <c r="C828" i="1"/>
  <c r="C669" i="1"/>
  <c r="C268" i="1"/>
  <c r="C535" i="1"/>
  <c r="C108" i="1"/>
  <c r="C37" i="1"/>
  <c r="C273" i="1"/>
  <c r="C808" i="1"/>
  <c r="C436" i="1"/>
  <c r="C258" i="1"/>
  <c r="C778" i="1"/>
  <c r="C779" i="1"/>
  <c r="C405" i="1"/>
  <c r="C368" i="1"/>
  <c r="C944" i="1"/>
  <c r="C391" i="1"/>
  <c r="C798" i="1"/>
  <c r="C65" i="1"/>
  <c r="C656" i="1"/>
  <c r="C259" i="1"/>
  <c r="C437" i="1"/>
  <c r="C554" i="1"/>
  <c r="C743" i="1"/>
  <c r="C235" i="1"/>
  <c r="C555" i="1"/>
  <c r="C901" i="1"/>
  <c r="C657" i="1"/>
  <c r="C698" i="1"/>
  <c r="C69" i="1"/>
  <c r="C89" i="1"/>
  <c r="C867" i="1"/>
  <c r="C167" i="1"/>
  <c r="C670" i="1"/>
  <c r="C699" i="1"/>
  <c r="C406" i="1"/>
  <c r="C868" i="1"/>
  <c r="C309" i="1"/>
  <c r="C223" i="1"/>
  <c r="C462" i="1"/>
  <c r="C1001" i="1"/>
  <c r="C407" i="1"/>
  <c r="C992" i="1"/>
  <c r="C330" i="1"/>
  <c r="C539" i="1"/>
  <c r="C784" i="1"/>
  <c r="C658" i="1"/>
  <c r="C185" i="1"/>
  <c r="C917" i="1"/>
  <c r="C839" i="1"/>
  <c r="C408" i="1"/>
  <c r="C757" i="1"/>
  <c r="C889" i="1"/>
  <c r="C719" i="1"/>
  <c r="C675" i="1"/>
  <c r="C603" i="1"/>
  <c r="C576" i="1"/>
  <c r="C907" i="1"/>
  <c r="C440" i="1"/>
  <c r="C801" i="1"/>
  <c r="C941" i="1"/>
  <c r="C760" i="1"/>
  <c r="C564" i="1"/>
  <c r="C521" i="1"/>
  <c r="C489" i="1"/>
  <c r="C780" i="1"/>
  <c r="C378" i="1"/>
  <c r="C850" i="1"/>
  <c r="C601" i="1"/>
  <c r="C977" i="1"/>
  <c r="C181" i="1"/>
  <c r="C544" i="1"/>
  <c r="C820" i="1"/>
  <c r="C536" i="1"/>
  <c r="C522" i="1"/>
  <c r="C274" i="1"/>
  <c r="C294" i="1"/>
  <c r="C356" i="1"/>
  <c r="C38" i="1"/>
  <c r="C336" i="1"/>
  <c r="C761" i="1"/>
  <c r="C978" i="1"/>
  <c r="C499" i="1"/>
  <c r="C523" i="1"/>
  <c r="C851" i="1"/>
  <c r="C799" i="1"/>
  <c r="C295" i="1"/>
  <c r="C473" i="1"/>
  <c r="C275" i="1"/>
  <c r="C659" i="1"/>
  <c r="C239" i="1"/>
  <c r="C584" i="1"/>
  <c r="C152" i="1"/>
  <c r="C131" i="1"/>
  <c r="C229" i="1"/>
  <c r="C153" i="1"/>
  <c r="C392" i="1"/>
  <c r="C660" i="1"/>
  <c r="C212" i="1"/>
  <c r="C897" i="1"/>
  <c r="C446" i="1"/>
  <c r="C463" i="1"/>
  <c r="C296" i="1"/>
  <c r="C869" i="1"/>
  <c r="C450" i="1"/>
  <c r="C427" i="1"/>
  <c r="C650" i="1"/>
  <c r="C671" i="1"/>
  <c r="C845" i="1"/>
  <c r="C852" i="1"/>
  <c r="C870" i="1"/>
  <c r="C224" i="1"/>
  <c r="C524" i="1"/>
  <c r="C661" i="1"/>
  <c r="C409" i="1"/>
  <c r="C905" i="1"/>
  <c r="C525" i="1"/>
  <c r="C781" i="1"/>
  <c r="C168" i="1"/>
  <c r="C829" i="1"/>
  <c r="C963" i="1"/>
  <c r="C248" i="1"/>
  <c r="C725" i="1"/>
  <c r="C58" i="1"/>
  <c r="C428" i="1"/>
  <c r="C871" i="1"/>
  <c r="C748" i="1"/>
  <c r="C260" i="1"/>
  <c r="C490" i="1"/>
  <c r="C744" i="1"/>
  <c r="C11" i="1"/>
  <c r="C261" i="1"/>
  <c r="C526" i="1"/>
  <c r="C491" i="1"/>
  <c r="C510" i="1"/>
  <c r="C51" i="1"/>
  <c r="C393" i="1"/>
  <c r="C732" i="1"/>
  <c r="C14" i="1"/>
  <c r="C213" i="1"/>
  <c r="C662" i="1"/>
  <c r="C78" i="1"/>
  <c r="C214" i="1"/>
  <c r="C410" i="1"/>
  <c r="C169" i="1"/>
  <c r="C672" i="1"/>
  <c r="C315" i="1"/>
  <c r="C7" i="1"/>
  <c r="C70" i="1"/>
  <c r="C19" i="1"/>
  <c r="C79" i="1"/>
  <c r="C492" i="1"/>
  <c r="C908" i="1"/>
  <c r="C925" i="1"/>
  <c r="C883" i="1"/>
  <c r="C633" i="1"/>
  <c r="C957" i="1"/>
  <c r="C371" i="1"/>
  <c r="C338" i="1"/>
  <c r="C681" i="1"/>
  <c r="C995" i="1"/>
  <c r="C652" i="1"/>
  <c r="C922" i="1"/>
  <c r="C318" i="1"/>
  <c r="C438" i="1"/>
  <c r="C687" i="1"/>
  <c r="C236" i="1"/>
  <c r="C770" i="1"/>
  <c r="C718" i="1"/>
  <c r="C809" i="1"/>
  <c r="C394" i="1"/>
  <c r="C132" i="1"/>
  <c r="C830" i="1"/>
  <c r="C39" i="1"/>
  <c r="C182" i="1"/>
  <c r="C349" i="1"/>
  <c r="C40" i="1"/>
  <c r="C815" i="1"/>
  <c r="C379" i="1"/>
  <c r="C76" i="1"/>
  <c r="C66" i="1"/>
  <c r="C262" i="1"/>
  <c r="C979" i="1"/>
  <c r="C565" i="1"/>
  <c r="C230" i="1"/>
  <c r="C411" i="1"/>
  <c r="C480" i="1"/>
  <c r="C215" i="1"/>
  <c r="C481" i="1"/>
  <c r="C858" i="1"/>
  <c r="C688" i="1"/>
  <c r="C237" i="1"/>
  <c r="C585" i="1"/>
  <c r="C140" i="1"/>
  <c r="C195" i="1"/>
  <c r="C574" i="1"/>
  <c r="C216" i="1"/>
  <c r="C369" i="1"/>
  <c r="C125" i="1"/>
  <c r="C154" i="1"/>
  <c r="C119" i="1"/>
  <c r="C217" i="1"/>
  <c r="C52" i="1"/>
  <c r="C726" i="1"/>
  <c r="C225" i="1"/>
  <c r="C218" i="1"/>
  <c r="C634" i="1"/>
  <c r="C749" i="1"/>
  <c r="C964" i="1"/>
  <c r="C859" i="1"/>
  <c r="C810" i="1"/>
  <c r="C537" i="1"/>
  <c r="C673" i="1"/>
  <c r="C170" i="1"/>
  <c r="C527" i="1"/>
  <c r="C762" i="1"/>
  <c r="C918" i="1"/>
  <c r="C792" i="1"/>
  <c r="C745" i="1"/>
  <c r="C816" i="1"/>
  <c r="C41" i="1"/>
  <c r="C602" i="1"/>
  <c r="C965" i="1"/>
  <c r="C474" i="1"/>
  <c r="C4" i="1"/>
  <c r="C635" i="1"/>
  <c r="C30" i="1"/>
  <c r="C249" i="1"/>
  <c r="C556" i="1"/>
  <c r="C591" i="1"/>
  <c r="C872" i="1"/>
  <c r="C196" i="1"/>
  <c r="C464" i="1"/>
  <c r="C80" i="1"/>
  <c r="C15" i="1"/>
  <c r="C773" i="1"/>
  <c r="C16" i="1"/>
  <c r="C395" i="1"/>
  <c r="C592" i="1"/>
  <c r="C357" i="1"/>
  <c r="C418" i="1"/>
  <c r="C793" i="1"/>
  <c r="C250" i="1"/>
  <c r="C707" i="1"/>
  <c r="C133" i="1"/>
  <c r="C618" i="1"/>
  <c r="C919" i="1"/>
  <c r="C453" i="1"/>
  <c r="C831" i="1"/>
  <c r="C888" i="1"/>
  <c r="C263" i="1"/>
  <c r="C566" i="1"/>
  <c r="C264" i="1"/>
  <c r="C439" i="1"/>
  <c r="C619" i="1"/>
  <c r="C638" i="1"/>
  <c r="C945" i="1"/>
  <c r="C620" i="1"/>
  <c r="C750" i="1"/>
  <c r="C380" i="1"/>
  <c r="C636" i="1"/>
  <c r="C853" i="1"/>
  <c r="C873" i="1"/>
  <c r="C24" i="1"/>
  <c r="C902" i="1"/>
  <c r="C811" i="1"/>
  <c r="C21" i="1"/>
  <c r="C412" i="1"/>
  <c r="C145" i="1"/>
  <c r="C911" i="1"/>
  <c r="C608" i="1"/>
  <c r="C545" i="1"/>
  <c r="C109" i="1"/>
  <c r="C281" i="1"/>
  <c r="C282" i="1"/>
  <c r="C310" i="1"/>
  <c r="C337" i="1"/>
  <c r="C575" i="1"/>
  <c r="C874" i="1"/>
  <c r="C120" i="1"/>
  <c r="C500" i="1"/>
  <c r="C319" i="1"/>
  <c r="C875" i="1"/>
  <c r="C17" i="1"/>
  <c r="C316" i="1"/>
  <c r="C311" i="1"/>
  <c r="C986" i="1"/>
  <c r="C251" i="1"/>
  <c r="C358" i="1"/>
  <c r="C339" i="1"/>
  <c r="C332" i="1"/>
  <c r="C174" i="1"/>
  <c r="C429" i="1"/>
  <c r="C898" i="1"/>
  <c r="C876" i="1"/>
  <c r="C751" i="1"/>
  <c r="C134" i="1"/>
  <c r="C276" i="1"/>
  <c r="C312" i="1"/>
  <c r="C135" i="1"/>
  <c r="C621" i="1"/>
  <c r="C980" i="1"/>
  <c r="C646" i="1"/>
  <c r="C501" i="1"/>
  <c r="C171" i="1"/>
  <c r="C475" i="1"/>
  <c r="C700" i="1"/>
  <c r="C680" i="1"/>
  <c r="C812" i="1"/>
  <c r="C912" i="1"/>
  <c r="C689" i="1"/>
  <c r="C71" i="1"/>
  <c r="C419" i="1"/>
  <c r="C999" i="1"/>
  <c r="C800" i="1"/>
  <c r="C320" i="1"/>
  <c r="C138" i="1"/>
  <c r="C577" i="1"/>
  <c r="C913" i="1"/>
  <c r="C832" i="1"/>
  <c r="C663" i="1"/>
  <c r="C372" i="1"/>
  <c r="C113" i="1"/>
  <c r="C690" i="1"/>
  <c r="C528" i="1"/>
  <c r="C763" i="1"/>
  <c r="C413" i="1"/>
  <c r="C966" i="1"/>
  <c r="C946" i="1"/>
  <c r="C53" i="1"/>
  <c r="C546" i="1"/>
  <c r="C967" i="1"/>
  <c r="C651" i="1"/>
  <c r="C860" i="1"/>
  <c r="C465" i="1"/>
  <c r="C42" i="1"/>
  <c r="C502" i="1"/>
  <c r="C451" i="1"/>
  <c r="C503" i="1"/>
  <c r="C813" i="1"/>
  <c r="C155" i="1"/>
  <c r="C493" i="1"/>
  <c r="C674" i="1"/>
  <c r="C782" i="1"/>
  <c r="C430" i="1"/>
  <c r="C172" i="1"/>
  <c r="C414" i="1"/>
  <c r="C415" i="1"/>
  <c r="C18" i="1"/>
  <c r="C72" i="1"/>
  <c r="C993" i="1"/>
  <c r="C996" i="1"/>
  <c r="E846" i="1"/>
  <c r="E298" i="1"/>
  <c r="E701" i="1"/>
  <c r="E327" i="1"/>
  <c r="E861" i="1"/>
  <c r="E299" i="1"/>
  <c r="E114" i="1"/>
  <c r="E146" i="1"/>
  <c r="E928" i="1"/>
  <c r="E786" i="1"/>
  <c r="E935" i="1"/>
  <c r="E623" i="1"/>
  <c r="E186" i="1"/>
  <c r="E823" i="1"/>
  <c r="E56" i="1"/>
  <c r="E81" i="1"/>
  <c r="E720" i="1"/>
  <c r="E384" i="1"/>
  <c r="E252" i="1"/>
  <c r="E420" i="1"/>
  <c r="E441" i="1"/>
  <c r="E175" i="1"/>
  <c r="E702" i="1"/>
  <c r="E647" i="1"/>
  <c r="E767" i="1"/>
  <c r="E431" i="1"/>
  <c r="E243" i="1"/>
  <c r="E558" i="1"/>
  <c r="E640" i="1"/>
  <c r="E624" i="1"/>
  <c r="E484" i="1"/>
  <c r="E758" i="1"/>
  <c r="E198" i="1"/>
  <c r="E321" i="1"/>
  <c r="E840" i="1"/>
  <c r="E25" i="1"/>
  <c r="E12" i="1"/>
  <c r="E342" i="1"/>
  <c r="E926" i="1"/>
  <c r="E746" i="1"/>
  <c r="E54" i="1"/>
  <c r="E385" i="1"/>
  <c r="E8" i="1"/>
  <c r="E77" i="1"/>
  <c r="E948" i="1"/>
  <c r="E13" i="1"/>
  <c r="E67" i="1"/>
  <c r="E136" i="1"/>
  <c r="E362" i="1"/>
  <c r="E639" i="1"/>
  <c r="E622" i="1"/>
  <c r="E764" i="1"/>
  <c r="E877" i="1"/>
  <c r="E754" i="1"/>
  <c r="E511" i="1"/>
  <c r="E173" i="1"/>
  <c r="E240" i="1"/>
  <c r="E482" i="1"/>
  <c r="E557" i="1"/>
  <c r="E126" i="1"/>
  <c r="E802" i="1"/>
  <c r="E774" i="1"/>
  <c r="E794" i="1"/>
  <c r="E682" i="1"/>
  <c r="E949" i="1"/>
  <c r="E711" i="1"/>
  <c r="E531" i="1"/>
  <c r="E43" i="1"/>
  <c r="E220" i="1"/>
  <c r="E803" i="1"/>
  <c r="E579" i="1"/>
  <c r="E559" i="1"/>
  <c r="E476" i="1"/>
  <c r="E504" i="1"/>
  <c r="E350" i="1"/>
  <c r="E550" i="1"/>
  <c r="E958" i="1"/>
  <c r="E373" i="1"/>
  <c r="E841" i="1"/>
  <c r="E943" i="1"/>
  <c r="E176" i="1"/>
  <c r="E333" i="1"/>
  <c r="E365" i="1"/>
  <c r="E768" i="1"/>
  <c r="E147" i="1"/>
  <c r="E817" i="1"/>
  <c r="E824" i="1"/>
  <c r="E712" i="1"/>
  <c r="E968" i="1"/>
  <c r="E432" i="1"/>
  <c r="E721" i="1"/>
  <c r="E397" i="1"/>
  <c r="E854" i="1"/>
  <c r="E676" i="1"/>
  <c r="E641" i="1"/>
  <c r="E433" i="1"/>
  <c r="E929" i="1"/>
  <c r="E100" i="1"/>
  <c r="E374" i="1"/>
  <c r="E101" i="1"/>
  <c r="E713" i="1"/>
  <c r="E421" i="1"/>
  <c r="E199" i="1"/>
  <c r="E730" i="1"/>
  <c r="E1000" i="1"/>
  <c r="E26" i="1"/>
  <c r="E141" i="1"/>
  <c r="E529" i="1"/>
  <c r="E27" i="1"/>
  <c r="E982" i="1"/>
  <c r="E454" i="1"/>
  <c r="E115" i="1"/>
  <c r="E969" i="1"/>
  <c r="E2" i="1"/>
  <c r="E200" i="1"/>
  <c r="E253" i="1"/>
  <c r="E989" i="1"/>
  <c r="E586" i="1"/>
  <c r="E283" i="1"/>
  <c r="E398" i="1"/>
  <c r="E328" i="1"/>
  <c r="E396" i="1"/>
  <c r="E184" i="1"/>
  <c r="E547" i="1"/>
  <c r="E593" i="1"/>
  <c r="E771" i="1"/>
  <c r="E359" i="1"/>
  <c r="E909" i="1"/>
  <c r="E708" i="1"/>
  <c r="E284" i="1"/>
  <c r="E752" i="1"/>
  <c r="E696" i="1"/>
  <c r="E580" i="1"/>
  <c r="E505" i="1"/>
  <c r="E970" i="1"/>
  <c r="E540" i="1"/>
  <c r="E201" i="1"/>
  <c r="E127" i="1"/>
  <c r="E163" i="1"/>
  <c r="E567" i="1"/>
  <c r="E847" i="1"/>
  <c r="E399" i="1"/>
  <c r="E691" i="1"/>
  <c r="E366" i="1"/>
  <c r="E455" i="1"/>
  <c r="E648" i="1"/>
  <c r="E551" i="1"/>
  <c r="E733" i="1"/>
  <c r="E625" i="1"/>
  <c r="E102" i="1"/>
  <c r="E177" i="1"/>
  <c r="E930" i="1"/>
  <c r="E649" i="1"/>
  <c r="E156" i="1"/>
  <c r="E226" i="1"/>
  <c r="E609" i="1"/>
  <c r="E110" i="1"/>
  <c r="E692" i="1"/>
  <c r="E664" i="1"/>
  <c r="E347" i="1"/>
  <c r="E864" i="1"/>
  <c r="E714" i="1"/>
  <c r="E111" i="1"/>
  <c r="E82" i="1"/>
  <c r="E693" i="1"/>
  <c r="E322" i="1"/>
  <c r="E116" i="1"/>
  <c r="E626" i="1"/>
  <c r="E83" i="1"/>
  <c r="E532" i="1"/>
  <c r="E959" i="1"/>
  <c r="E513" i="1"/>
  <c r="E825" i="1"/>
  <c r="E842" i="1"/>
  <c r="E884" i="1"/>
  <c r="E375" i="1"/>
  <c r="E44" i="1"/>
  <c r="E878" i="1"/>
  <c r="E343" i="1"/>
  <c r="E709" i="1"/>
  <c r="E456" i="1"/>
  <c r="E285" i="1"/>
  <c r="E190" i="1"/>
  <c r="E416" i="1"/>
  <c r="E363" i="1"/>
  <c r="E787" i="1"/>
  <c r="E710" i="1"/>
  <c r="E552" i="1"/>
  <c r="E55" i="1"/>
  <c r="E5" i="1"/>
  <c r="E84" i="1"/>
  <c r="E344" i="1"/>
  <c r="E833" i="1"/>
  <c r="E22" i="1"/>
  <c r="E364" i="1"/>
  <c r="E483" i="1"/>
  <c r="E899" i="1"/>
  <c r="E244" i="1"/>
  <c r="E197" i="1"/>
  <c r="E512" i="1"/>
  <c r="E317" i="1"/>
  <c r="E231" i="1"/>
  <c r="E103" i="1"/>
  <c r="E936" i="1"/>
  <c r="E434" i="1"/>
  <c r="E769" i="1"/>
  <c r="E722" i="1"/>
  <c r="E514" i="1"/>
  <c r="E931" i="1"/>
  <c r="E560" i="1"/>
  <c r="E238" i="1"/>
  <c r="E950" i="1"/>
  <c r="E221" i="1"/>
  <c r="E971" i="1"/>
  <c r="E202" i="1"/>
  <c r="E178" i="1"/>
  <c r="E775" i="1"/>
  <c r="E610" i="1"/>
  <c r="E245" i="1"/>
  <c r="E653" i="1"/>
  <c r="E703" i="1"/>
  <c r="E515" i="1"/>
  <c r="E73" i="1"/>
  <c r="E203" i="1"/>
  <c r="E128" i="1"/>
  <c r="E494" i="1"/>
  <c r="E323" i="1"/>
  <c r="E594" i="1"/>
  <c r="E951" i="1"/>
  <c r="E932" i="1"/>
  <c r="E734" i="1"/>
  <c r="E435" i="1"/>
  <c r="E843" i="1"/>
  <c r="E735" i="1"/>
  <c r="E994" i="1"/>
  <c r="E90" i="1"/>
  <c r="E286" i="1"/>
  <c r="E683" i="1"/>
  <c r="E10" i="1"/>
  <c r="E91" i="1"/>
  <c r="E627" i="1"/>
  <c r="E606" i="1"/>
  <c r="E20" i="1"/>
  <c r="E45" i="1"/>
  <c r="E981" i="1"/>
  <c r="E587" i="1"/>
  <c r="E882" i="1"/>
  <c r="E351" i="1"/>
  <c r="E920" i="1"/>
  <c r="E934" i="1"/>
  <c r="E728" i="1"/>
  <c r="E987" i="1"/>
  <c r="E382" i="1"/>
  <c r="E331" i="1"/>
  <c r="E983" i="1"/>
  <c r="E530" i="1"/>
  <c r="E785" i="1"/>
  <c r="E923" i="1"/>
  <c r="E952" i="1"/>
  <c r="E187" i="1"/>
  <c r="E611" i="1"/>
  <c r="E715" i="1"/>
  <c r="E74" i="1"/>
  <c r="E568" i="1"/>
  <c r="E776" i="1"/>
  <c r="E914" i="1"/>
  <c r="E93" i="1"/>
  <c r="E85" i="1"/>
  <c r="E834" i="1"/>
  <c r="E937" i="1"/>
  <c r="E466" i="1"/>
  <c r="E422" i="1"/>
  <c r="E736" i="1"/>
  <c r="E737" i="1"/>
  <c r="E516" i="1"/>
  <c r="E324" i="1"/>
  <c r="E477" i="1"/>
  <c r="E485" i="1"/>
  <c r="E254" i="1"/>
  <c r="E277" i="1"/>
  <c r="E164" i="1"/>
  <c r="E612" i="1"/>
  <c r="E654" i="1"/>
  <c r="E457" i="1"/>
  <c r="E595" i="1"/>
  <c r="E148" i="1"/>
  <c r="E467" i="1"/>
  <c r="E191" i="1"/>
  <c r="E553" i="1"/>
  <c r="E495" i="1"/>
  <c r="E46" i="1"/>
  <c r="E57" i="1"/>
  <c r="E569" i="1"/>
  <c r="E747" i="1"/>
  <c r="E596" i="1"/>
  <c r="E972" i="1"/>
  <c r="E613" i="1"/>
  <c r="E637" i="1"/>
  <c r="E334" i="1"/>
  <c r="E478" i="1"/>
  <c r="E506" i="1"/>
  <c r="E804" i="1"/>
  <c r="E973" i="1"/>
  <c r="E367" i="1"/>
  <c r="E255" i="1"/>
  <c r="E386" i="1"/>
  <c r="E496" i="1"/>
  <c r="E59" i="1"/>
  <c r="E94" i="1"/>
  <c r="E548" i="1"/>
  <c r="E879" i="1"/>
  <c r="E990" i="1"/>
  <c r="E183" i="1"/>
  <c r="E997" i="1"/>
  <c r="E47" i="1"/>
  <c r="E835" i="1"/>
  <c r="E417" i="1"/>
  <c r="E352" i="1"/>
  <c r="E731" i="1"/>
  <c r="E287" i="1"/>
  <c r="E387" i="1"/>
  <c r="E984" i="1"/>
  <c r="E297" i="1"/>
  <c r="E953" i="1"/>
  <c r="E345" i="1"/>
  <c r="E360" i="1"/>
  <c r="E921" i="1"/>
  <c r="E561" i="1"/>
  <c r="E300" i="1"/>
  <c r="E885" i="1"/>
  <c r="E442" i="1"/>
  <c r="E227" i="1"/>
  <c r="E149" i="1"/>
  <c r="E157" i="1"/>
  <c r="E694" i="1"/>
  <c r="E581" i="1"/>
  <c r="E642" i="1"/>
  <c r="E614" i="1"/>
  <c r="E665" i="1"/>
  <c r="E570" i="1"/>
  <c r="E738" i="1"/>
  <c r="E597" i="1"/>
  <c r="E60" i="1"/>
  <c r="E443" i="1"/>
  <c r="E288" i="1"/>
  <c r="E376" i="1"/>
  <c r="E33" i="1"/>
  <c r="E643" i="1"/>
  <c r="E48" i="1"/>
  <c r="E517" i="1"/>
  <c r="E571" i="1"/>
  <c r="E818" i="1"/>
  <c r="E158" i="1"/>
  <c r="E486" i="1"/>
  <c r="E819" i="1"/>
  <c r="E3" i="1"/>
  <c r="E246" i="1"/>
  <c r="E562" i="1"/>
  <c r="E598" i="1"/>
  <c r="E142" i="1"/>
  <c r="E772" i="1"/>
  <c r="E301" i="1"/>
  <c r="E954" i="1"/>
  <c r="E855" i="1"/>
  <c r="E765" i="1"/>
  <c r="E388" i="1"/>
  <c r="E269" i="1"/>
  <c r="E729" i="1"/>
  <c r="E270" i="1"/>
  <c r="E219" i="1"/>
  <c r="E814" i="1"/>
  <c r="E222" i="1"/>
  <c r="E444" i="1"/>
  <c r="E468" i="1"/>
  <c r="E933" i="1"/>
  <c r="E159" i="1"/>
  <c r="E447" i="1"/>
  <c r="E75" i="1"/>
  <c r="E160" i="1"/>
  <c r="E86" i="1"/>
  <c r="E788" i="1"/>
  <c r="E165" i="1"/>
  <c r="E805" i="1"/>
  <c r="E289" i="1"/>
  <c r="E458" i="1"/>
  <c r="E290" i="1"/>
  <c r="E848" i="1"/>
  <c r="E507" i="1"/>
  <c r="E910" i="1"/>
  <c r="E400" i="1"/>
  <c r="E401" i="1"/>
  <c r="E588" i="1"/>
  <c r="E806" i="1"/>
  <c r="E807" i="1"/>
  <c r="E578" i="1"/>
  <c r="E192" i="1"/>
  <c r="E402" i="1"/>
  <c r="E487" i="1"/>
  <c r="E389" i="1"/>
  <c r="E204" i="1"/>
  <c r="E256" i="1"/>
  <c r="E615" i="1"/>
  <c r="E61" i="1"/>
  <c r="E121" i="1"/>
  <c r="E104" i="1"/>
  <c r="E789" i="1"/>
  <c r="E117" i="1"/>
  <c r="E325" i="1"/>
  <c r="E628" i="1"/>
  <c r="E862" i="1"/>
  <c r="E821" i="1"/>
  <c r="E766" i="1"/>
  <c r="E900" i="1"/>
  <c r="E599" i="1"/>
  <c r="E955" i="1"/>
  <c r="E716" i="1"/>
  <c r="E62" i="1"/>
  <c r="E826" i="1"/>
  <c r="E684" i="1"/>
  <c r="E790" i="1"/>
  <c r="E890" i="1"/>
  <c r="E518" i="1"/>
  <c r="E723" i="1"/>
  <c r="E974" i="1"/>
  <c r="E795" i="1"/>
  <c r="E479" i="1"/>
  <c r="E112" i="1"/>
  <c r="E572" i="1"/>
  <c r="E677" i="1"/>
  <c r="E95" i="1"/>
  <c r="E265" i="1"/>
  <c r="E105" i="1"/>
  <c r="E903" i="1"/>
  <c r="E122" i="1"/>
  <c r="E717" i="1"/>
  <c r="E34" i="1"/>
  <c r="E904" i="1"/>
  <c r="E96" i="1"/>
  <c r="E759" i="1"/>
  <c r="E205" i="1"/>
  <c r="E865" i="1"/>
  <c r="E166" i="1"/>
  <c r="E459" i="1"/>
  <c r="E346" i="1"/>
  <c r="E880" i="1"/>
  <c r="E23" i="1"/>
  <c r="E423" i="1"/>
  <c r="E143" i="1"/>
  <c r="E891" i="1"/>
  <c r="E232" i="1"/>
  <c r="E863" i="1"/>
  <c r="E460" i="1"/>
  <c r="E241" i="1"/>
  <c r="E607" i="1"/>
  <c r="E403" i="1"/>
  <c r="E97" i="1"/>
  <c r="E616" i="1"/>
  <c r="E302" i="1"/>
  <c r="E666" i="1"/>
  <c r="E206" i="1"/>
  <c r="E335" i="1"/>
  <c r="E179" i="1"/>
  <c r="E678" i="1"/>
  <c r="E836" i="1"/>
  <c r="E377" i="1"/>
  <c r="E573" i="1"/>
  <c r="E63" i="1"/>
  <c r="E704" i="1"/>
  <c r="E644" i="1"/>
  <c r="E424" i="1"/>
  <c r="E915" i="1"/>
  <c r="E617" i="1"/>
  <c r="E278" i="1"/>
  <c r="E629" i="1"/>
  <c r="E161" i="1"/>
  <c r="E303" i="1"/>
  <c r="E326" i="1"/>
  <c r="E856" i="1"/>
  <c r="E29" i="1"/>
  <c r="E361" i="1"/>
  <c r="E886" i="1"/>
  <c r="E822" i="1"/>
  <c r="E924" i="1"/>
  <c r="E783" i="1"/>
  <c r="E604" i="1"/>
  <c r="E291" i="1"/>
  <c r="E279" i="1"/>
  <c r="E266" i="1"/>
  <c r="E98" i="1"/>
  <c r="E304" i="1"/>
  <c r="E739" i="1"/>
  <c r="E740" i="1"/>
  <c r="E892" i="1"/>
  <c r="E600" i="1"/>
  <c r="E582" i="1"/>
  <c r="E425" i="1"/>
  <c r="E123" i="1"/>
  <c r="E207" i="1"/>
  <c r="E685" i="1"/>
  <c r="E827" i="1"/>
  <c r="E208" i="1"/>
  <c r="E193" i="1"/>
  <c r="E390" i="1"/>
  <c r="E445" i="1"/>
  <c r="E469" i="1"/>
  <c r="E305" i="1"/>
  <c r="E404" i="1"/>
  <c r="E519" i="1"/>
  <c r="E488" i="1"/>
  <c r="E106" i="1"/>
  <c r="E448" i="1"/>
  <c r="E49" i="1"/>
  <c r="E64" i="1"/>
  <c r="E188" i="1"/>
  <c r="E353" i="1"/>
  <c r="E549" i="1"/>
  <c r="E313" i="1"/>
  <c r="E194" i="1"/>
  <c r="E938" i="1"/>
  <c r="E383" i="1"/>
  <c r="E6" i="1"/>
  <c r="E137" i="1"/>
  <c r="E28" i="1"/>
  <c r="E589" i="1"/>
  <c r="E9" i="1"/>
  <c r="E927" i="1"/>
  <c r="E655" i="1"/>
  <c r="E257" i="1"/>
  <c r="E209" i="1"/>
  <c r="E837" i="1"/>
  <c r="E857" i="1"/>
  <c r="E753" i="1"/>
  <c r="E727" i="1"/>
  <c r="E755" i="1"/>
  <c r="E329" i="1"/>
  <c r="E340" i="1"/>
  <c r="E960" i="1"/>
  <c r="E271" i="1"/>
  <c r="E686" i="1"/>
  <c r="E520" i="1"/>
  <c r="E470" i="1"/>
  <c r="E449" i="1"/>
  <c r="E630" i="1"/>
  <c r="E533" i="1"/>
  <c r="E189" i="1"/>
  <c r="E497" i="1"/>
  <c r="E272" i="1"/>
  <c r="E99" i="1"/>
  <c r="E498" i="1"/>
  <c r="E280" i="1"/>
  <c r="E267" i="1"/>
  <c r="E697" i="1"/>
  <c r="E348" i="1"/>
  <c r="E471" i="1"/>
  <c r="E583" i="1"/>
  <c r="E844" i="1"/>
  <c r="E354" i="1"/>
  <c r="E893" i="1"/>
  <c r="E541" i="1"/>
  <c r="E695" i="1"/>
  <c r="E306" i="1"/>
  <c r="E679" i="1"/>
  <c r="E228" i="1"/>
  <c r="E563" i="1"/>
  <c r="E87" i="1"/>
  <c r="E538" i="1"/>
  <c r="E129" i="1"/>
  <c r="E939" i="1"/>
  <c r="E998" i="1"/>
  <c r="E894" i="1"/>
  <c r="E31" i="1"/>
  <c r="E916" i="1"/>
  <c r="E32" i="1"/>
  <c r="E895" i="1"/>
  <c r="E242" i="1"/>
  <c r="E144" i="1"/>
  <c r="E988" i="1"/>
  <c r="E605" i="1"/>
  <c r="E791" i="1"/>
  <c r="E991" i="1"/>
  <c r="E381" i="1"/>
  <c r="E370" i="1"/>
  <c r="E645" i="1"/>
  <c r="E741" i="1"/>
  <c r="E150" i="1"/>
  <c r="E534" i="1"/>
  <c r="E151" i="1"/>
  <c r="E542" i="1"/>
  <c r="E796" i="1"/>
  <c r="E180" i="1"/>
  <c r="E307" i="1"/>
  <c r="E233" i="1"/>
  <c r="E849" i="1"/>
  <c r="E308" i="1"/>
  <c r="E705" i="1"/>
  <c r="E292" i="1"/>
  <c r="E35" i="1"/>
  <c r="E162" i="1"/>
  <c r="E118" i="1"/>
  <c r="E724" i="1"/>
  <c r="E742" i="1"/>
  <c r="E130" i="1"/>
  <c r="E472" i="1"/>
  <c r="E961" i="1"/>
  <c r="E107" i="1"/>
  <c r="E508" i="1"/>
  <c r="E293" i="1"/>
  <c r="E124" i="1"/>
  <c r="E777" i="1"/>
  <c r="E975" i="1"/>
  <c r="E631" i="1"/>
  <c r="E667" i="1"/>
  <c r="E68" i="1"/>
  <c r="E976" i="1"/>
  <c r="E668" i="1"/>
  <c r="E940" i="1"/>
  <c r="E509" i="1"/>
  <c r="E797" i="1"/>
  <c r="E896" i="1"/>
  <c r="E881" i="1"/>
  <c r="E706" i="1"/>
  <c r="E985" i="1"/>
  <c r="E866" i="1"/>
  <c r="E956" i="1"/>
  <c r="E210" i="1"/>
  <c r="E632" i="1"/>
  <c r="E88" i="1"/>
  <c r="E92" i="1"/>
  <c r="E314" i="1"/>
  <c r="E887" i="1"/>
  <c r="E452" i="1"/>
  <c r="E341" i="1"/>
  <c r="E756" i="1"/>
  <c r="E426" i="1"/>
  <c r="E947" i="1"/>
  <c r="E355" i="1"/>
  <c r="E942" i="1"/>
  <c r="E838" i="1"/>
  <c r="E590" i="1"/>
  <c r="E139" i="1"/>
  <c r="E461" i="1"/>
  <c r="E36" i="1"/>
  <c r="E247" i="1"/>
  <c r="E962" i="1"/>
  <c r="E211" i="1"/>
  <c r="E543" i="1"/>
  <c r="E234" i="1"/>
  <c r="E50" i="1"/>
  <c r="E828" i="1"/>
  <c r="E669" i="1"/>
  <c r="E268" i="1"/>
  <c r="E535" i="1"/>
  <c r="E108" i="1"/>
  <c r="E37" i="1"/>
  <c r="E273" i="1"/>
  <c r="E808" i="1"/>
  <c r="E436" i="1"/>
  <c r="E258" i="1"/>
  <c r="E778" i="1"/>
  <c r="E779" i="1"/>
  <c r="E405" i="1"/>
  <c r="E368" i="1"/>
  <c r="E944" i="1"/>
  <c r="E391" i="1"/>
  <c r="E798" i="1"/>
  <c r="E65" i="1"/>
  <c r="E656" i="1"/>
  <c r="E259" i="1"/>
  <c r="E437" i="1"/>
  <c r="E554" i="1"/>
  <c r="E743" i="1"/>
  <c r="E235" i="1"/>
  <c r="E555" i="1"/>
  <c r="E901" i="1"/>
  <c r="E657" i="1"/>
  <c r="E698" i="1"/>
  <c r="E69" i="1"/>
  <c r="E89" i="1"/>
  <c r="E867" i="1"/>
  <c r="E167" i="1"/>
  <c r="E670" i="1"/>
  <c r="E699" i="1"/>
  <c r="E406" i="1"/>
  <c r="E868" i="1"/>
  <c r="E309" i="1"/>
  <c r="E223" i="1"/>
  <c r="E462" i="1"/>
  <c r="E1001" i="1"/>
  <c r="E407" i="1"/>
  <c r="E992" i="1"/>
  <c r="E330" i="1"/>
  <c r="E539" i="1"/>
  <c r="E784" i="1"/>
  <c r="E658" i="1"/>
  <c r="E185" i="1"/>
  <c r="E917" i="1"/>
  <c r="E839" i="1"/>
  <c r="E408" i="1"/>
  <c r="E757" i="1"/>
  <c r="E889" i="1"/>
  <c r="E719" i="1"/>
  <c r="E675" i="1"/>
  <c r="E603" i="1"/>
  <c r="E576" i="1"/>
  <c r="E907" i="1"/>
  <c r="E440" i="1"/>
  <c r="E801" i="1"/>
  <c r="E941" i="1"/>
  <c r="E760" i="1"/>
  <c r="E564" i="1"/>
  <c r="E521" i="1"/>
  <c r="E489" i="1"/>
  <c r="E780" i="1"/>
  <c r="E378" i="1"/>
  <c r="E850" i="1"/>
  <c r="E601" i="1"/>
  <c r="E977" i="1"/>
  <c r="E181" i="1"/>
  <c r="E544" i="1"/>
  <c r="E820" i="1"/>
  <c r="E536" i="1"/>
  <c r="E522" i="1"/>
  <c r="E274" i="1"/>
  <c r="E294" i="1"/>
  <c r="E356" i="1"/>
  <c r="E38" i="1"/>
  <c r="E336" i="1"/>
  <c r="E761" i="1"/>
  <c r="E978" i="1"/>
  <c r="E499" i="1"/>
  <c r="E523" i="1"/>
  <c r="E851" i="1"/>
  <c r="E799" i="1"/>
  <c r="E295" i="1"/>
  <c r="E473" i="1"/>
  <c r="E275" i="1"/>
  <c r="E659" i="1"/>
  <c r="E239" i="1"/>
  <c r="E584" i="1"/>
  <c r="E152" i="1"/>
  <c r="E131" i="1"/>
  <c r="E229" i="1"/>
  <c r="E153" i="1"/>
  <c r="E392" i="1"/>
  <c r="E660" i="1"/>
  <c r="E212" i="1"/>
  <c r="E897" i="1"/>
  <c r="E446" i="1"/>
  <c r="E463" i="1"/>
  <c r="E296" i="1"/>
  <c r="E869" i="1"/>
  <c r="E450" i="1"/>
  <c r="E427" i="1"/>
  <c r="E650" i="1"/>
  <c r="E671" i="1"/>
  <c r="E845" i="1"/>
  <c r="E852" i="1"/>
  <c r="E870" i="1"/>
  <c r="E224" i="1"/>
  <c r="E524" i="1"/>
  <c r="E661" i="1"/>
  <c r="E409" i="1"/>
  <c r="E905" i="1"/>
  <c r="E525" i="1"/>
  <c r="E781" i="1"/>
  <c r="E168" i="1"/>
  <c r="E829" i="1"/>
  <c r="E963" i="1"/>
  <c r="E248" i="1"/>
  <c r="E725" i="1"/>
  <c r="E58" i="1"/>
  <c r="E428" i="1"/>
  <c r="E871" i="1"/>
  <c r="E748" i="1"/>
  <c r="E260" i="1"/>
  <c r="E490" i="1"/>
  <c r="E744" i="1"/>
  <c r="E11" i="1"/>
  <c r="E261" i="1"/>
  <c r="E526" i="1"/>
  <c r="E491" i="1"/>
  <c r="E510" i="1"/>
  <c r="E51" i="1"/>
  <c r="E393" i="1"/>
  <c r="E732" i="1"/>
  <c r="E14" i="1"/>
  <c r="E213" i="1"/>
  <c r="E662" i="1"/>
  <c r="E78" i="1"/>
  <c r="E214" i="1"/>
  <c r="E410" i="1"/>
  <c r="E169" i="1"/>
  <c r="E672" i="1"/>
  <c r="E315" i="1"/>
  <c r="E7" i="1"/>
  <c r="E70" i="1"/>
  <c r="E19" i="1"/>
  <c r="E79" i="1"/>
  <c r="E492" i="1"/>
  <c r="E908" i="1"/>
  <c r="E925" i="1"/>
  <c r="E883" i="1"/>
  <c r="E633" i="1"/>
  <c r="E957" i="1"/>
  <c r="E371" i="1"/>
  <c r="E338" i="1"/>
  <c r="E681" i="1"/>
  <c r="E995" i="1"/>
  <c r="E652" i="1"/>
  <c r="E922" i="1"/>
  <c r="E318" i="1"/>
  <c r="E438" i="1"/>
  <c r="E687" i="1"/>
  <c r="E236" i="1"/>
  <c r="E770" i="1"/>
  <c r="E718" i="1"/>
  <c r="E809" i="1"/>
  <c r="E394" i="1"/>
  <c r="E132" i="1"/>
  <c r="E830" i="1"/>
  <c r="E39" i="1"/>
  <c r="E182" i="1"/>
  <c r="E349" i="1"/>
  <c r="E40" i="1"/>
  <c r="E815" i="1"/>
  <c r="E379" i="1"/>
  <c r="E76" i="1"/>
  <c r="E66" i="1"/>
  <c r="E262" i="1"/>
  <c r="E979" i="1"/>
  <c r="E565" i="1"/>
  <c r="E230" i="1"/>
  <c r="E411" i="1"/>
  <c r="E480" i="1"/>
  <c r="E215" i="1"/>
  <c r="E481" i="1"/>
  <c r="E858" i="1"/>
  <c r="E688" i="1"/>
  <c r="E237" i="1"/>
  <c r="E585" i="1"/>
  <c r="E140" i="1"/>
  <c r="E195" i="1"/>
  <c r="E574" i="1"/>
  <c r="E216" i="1"/>
  <c r="E369" i="1"/>
  <c r="E125" i="1"/>
  <c r="E154" i="1"/>
  <c r="E119" i="1"/>
  <c r="E217" i="1"/>
  <c r="E52" i="1"/>
  <c r="E726" i="1"/>
  <c r="E225" i="1"/>
  <c r="E218" i="1"/>
  <c r="E634" i="1"/>
  <c r="E749" i="1"/>
  <c r="E964" i="1"/>
  <c r="E859" i="1"/>
  <c r="E810" i="1"/>
  <c r="E537" i="1"/>
  <c r="E673" i="1"/>
  <c r="E170" i="1"/>
  <c r="E527" i="1"/>
  <c r="E762" i="1"/>
  <c r="E918" i="1"/>
  <c r="E792" i="1"/>
  <c r="E745" i="1"/>
  <c r="E816" i="1"/>
  <c r="E41" i="1"/>
  <c r="E602" i="1"/>
  <c r="E965" i="1"/>
  <c r="E474" i="1"/>
  <c r="E4" i="1"/>
  <c r="E635" i="1"/>
  <c r="E30" i="1"/>
  <c r="E249" i="1"/>
  <c r="E556" i="1"/>
  <c r="E591" i="1"/>
  <c r="E872" i="1"/>
  <c r="E196" i="1"/>
  <c r="E464" i="1"/>
  <c r="E80" i="1"/>
  <c r="E15" i="1"/>
  <c r="E773" i="1"/>
  <c r="E16" i="1"/>
  <c r="E395" i="1"/>
  <c r="E592" i="1"/>
  <c r="E357" i="1"/>
  <c r="E418" i="1"/>
  <c r="E793" i="1"/>
  <c r="E250" i="1"/>
  <c r="E707" i="1"/>
  <c r="E133" i="1"/>
  <c r="E618" i="1"/>
  <c r="E919" i="1"/>
  <c r="E453" i="1"/>
  <c r="E831" i="1"/>
  <c r="E888" i="1"/>
  <c r="E263" i="1"/>
  <c r="E566" i="1"/>
  <c r="E264" i="1"/>
  <c r="E439" i="1"/>
  <c r="E619" i="1"/>
  <c r="E638" i="1"/>
  <c r="E945" i="1"/>
  <c r="E620" i="1"/>
  <c r="E750" i="1"/>
  <c r="E380" i="1"/>
  <c r="E636" i="1"/>
  <c r="E853" i="1"/>
  <c r="E873" i="1"/>
  <c r="E24" i="1"/>
  <c r="E902" i="1"/>
  <c r="E811" i="1"/>
  <c r="E21" i="1"/>
  <c r="E412" i="1"/>
  <c r="E145" i="1"/>
  <c r="E911" i="1"/>
  <c r="E608" i="1"/>
  <c r="E545" i="1"/>
  <c r="E109" i="1"/>
  <c r="E281" i="1"/>
  <c r="E282" i="1"/>
  <c r="E310" i="1"/>
  <c r="E337" i="1"/>
  <c r="E575" i="1"/>
  <c r="E874" i="1"/>
  <c r="E120" i="1"/>
  <c r="E500" i="1"/>
  <c r="E319" i="1"/>
  <c r="E875" i="1"/>
  <c r="E17" i="1"/>
  <c r="E316" i="1"/>
  <c r="E311" i="1"/>
  <c r="E986" i="1"/>
  <c r="E251" i="1"/>
  <c r="E358" i="1"/>
  <c r="E339" i="1"/>
  <c r="E332" i="1"/>
  <c r="E174" i="1"/>
  <c r="E429" i="1"/>
  <c r="E898" i="1"/>
  <c r="E876" i="1"/>
  <c r="E751" i="1"/>
  <c r="E134" i="1"/>
  <c r="E276" i="1"/>
  <c r="E312" i="1"/>
  <c r="E135" i="1"/>
  <c r="E621" i="1"/>
  <c r="E980" i="1"/>
  <c r="E646" i="1"/>
  <c r="E501" i="1"/>
  <c r="E171" i="1"/>
  <c r="E475" i="1"/>
  <c r="E700" i="1"/>
  <c r="E680" i="1"/>
  <c r="E812" i="1"/>
  <c r="E912" i="1"/>
  <c r="E689" i="1"/>
  <c r="E71" i="1"/>
  <c r="E419" i="1"/>
  <c r="E999" i="1"/>
  <c r="E800" i="1"/>
  <c r="E320" i="1"/>
  <c r="E138" i="1"/>
  <c r="E577" i="1"/>
  <c r="E913" i="1"/>
  <c r="E832" i="1"/>
  <c r="E663" i="1"/>
  <c r="E372" i="1"/>
  <c r="E113" i="1"/>
  <c r="E690" i="1"/>
  <c r="E528" i="1"/>
  <c r="E763" i="1"/>
  <c r="E413" i="1"/>
  <c r="E966" i="1"/>
  <c r="E946" i="1"/>
  <c r="E53" i="1"/>
  <c r="E546" i="1"/>
  <c r="E967" i="1"/>
  <c r="E651" i="1"/>
  <c r="E860" i="1"/>
  <c r="E465" i="1"/>
  <c r="E42" i="1"/>
  <c r="E502" i="1"/>
  <c r="E451" i="1"/>
  <c r="E503" i="1"/>
  <c r="E813" i="1"/>
  <c r="E155" i="1"/>
  <c r="E493" i="1"/>
  <c r="E674" i="1"/>
  <c r="E782" i="1"/>
  <c r="E430" i="1"/>
  <c r="E172" i="1"/>
  <c r="E414" i="1"/>
  <c r="E415" i="1"/>
  <c r="E18" i="1"/>
  <c r="E72" i="1"/>
  <c r="E993" i="1"/>
  <c r="E996" i="1"/>
  <c r="E906" i="1"/>
  <c r="B17" i="2" l="1"/>
  <c r="B16" i="2"/>
  <c r="B5" i="2"/>
  <c r="B6" i="2" s="1"/>
  <c r="L906" i="1"/>
  <c r="P906" i="1" s="1"/>
  <c r="R906" i="1" s="1"/>
  <c r="P996" i="1"/>
  <c r="R996" i="1" s="1"/>
  <c r="P993" i="1"/>
  <c r="R993" i="1" s="1"/>
  <c r="P72" i="1"/>
  <c r="R72" i="1" s="1"/>
  <c r="P18" i="1"/>
  <c r="R18" i="1" s="1"/>
  <c r="P415" i="1"/>
  <c r="R415" i="1" s="1"/>
  <c r="P414" i="1"/>
  <c r="R414" i="1" s="1"/>
  <c r="P172" i="1"/>
  <c r="R172" i="1" s="1"/>
  <c r="P430" i="1"/>
  <c r="R430" i="1" s="1"/>
  <c r="P782" i="1"/>
  <c r="R782" i="1" s="1"/>
  <c r="P138" i="1"/>
  <c r="R138" i="1" s="1"/>
  <c r="P320" i="1"/>
  <c r="R320" i="1" s="1"/>
  <c r="P800" i="1"/>
  <c r="R800" i="1" s="1"/>
  <c r="P999" i="1"/>
  <c r="R999" i="1" s="1"/>
  <c r="P419" i="1"/>
  <c r="R419" i="1" s="1"/>
  <c r="P71" i="1"/>
  <c r="R71" i="1" s="1"/>
  <c r="P689" i="1"/>
  <c r="R689" i="1" s="1"/>
  <c r="P912" i="1"/>
  <c r="R912" i="1" s="1"/>
  <c r="P986" i="1"/>
  <c r="R986" i="1" s="1"/>
  <c r="P311" i="1"/>
  <c r="R311" i="1" s="1"/>
  <c r="P316" i="1"/>
  <c r="R316" i="1" s="1"/>
  <c r="P17" i="1"/>
  <c r="R17" i="1" s="1"/>
  <c r="P875" i="1"/>
  <c r="R875" i="1" s="1"/>
  <c r="P319" i="1"/>
  <c r="R319" i="1" s="1"/>
  <c r="P21" i="1"/>
  <c r="R21" i="1" s="1"/>
  <c r="P811" i="1"/>
  <c r="R811" i="1" s="1"/>
  <c r="P902" i="1"/>
  <c r="R902" i="1" s="1"/>
  <c r="P24" i="1"/>
  <c r="R24" i="1" s="1"/>
  <c r="P873" i="1"/>
  <c r="R873" i="1" s="1"/>
  <c r="P919" i="1"/>
  <c r="R919" i="1" s="1"/>
  <c r="P618" i="1"/>
  <c r="R618" i="1" s="1"/>
  <c r="P133" i="1"/>
  <c r="R133" i="1" s="1"/>
  <c r="P707" i="1"/>
  <c r="R707" i="1" s="1"/>
  <c r="P250" i="1"/>
  <c r="R250" i="1" s="1"/>
  <c r="P793" i="1"/>
  <c r="R793" i="1" s="1"/>
  <c r="P418" i="1"/>
  <c r="R418" i="1" s="1"/>
  <c r="P357" i="1"/>
  <c r="R357" i="1" s="1"/>
  <c r="P592" i="1"/>
  <c r="R592" i="1" s="1"/>
  <c r="P395" i="1"/>
  <c r="R395" i="1" s="1"/>
  <c r="P16" i="1"/>
  <c r="R16" i="1" s="1"/>
  <c r="P773" i="1"/>
  <c r="R773" i="1" s="1"/>
  <c r="P15" i="1"/>
  <c r="R15" i="1" s="1"/>
  <c r="P80" i="1"/>
  <c r="R80" i="1" s="1"/>
  <c r="P464" i="1"/>
  <c r="R464" i="1" s="1"/>
  <c r="P196" i="1"/>
  <c r="R196" i="1" s="1"/>
  <c r="P872" i="1"/>
  <c r="R872" i="1" s="1"/>
  <c r="P591" i="1"/>
  <c r="R591" i="1" s="1"/>
  <c r="P556" i="1"/>
  <c r="R556" i="1" s="1"/>
  <c r="P249" i="1"/>
  <c r="R249" i="1" s="1"/>
  <c r="P30" i="1"/>
  <c r="R30" i="1" s="1"/>
  <c r="P635" i="1"/>
  <c r="R635" i="1" s="1"/>
  <c r="P4" i="1"/>
  <c r="R4" i="1" s="1"/>
  <c r="P474" i="1"/>
  <c r="R474" i="1" s="1"/>
  <c r="P492" i="1"/>
  <c r="R492" i="1" s="1"/>
  <c r="P79" i="1"/>
  <c r="R79" i="1" s="1"/>
  <c r="P19" i="1"/>
  <c r="R19" i="1" s="1"/>
  <c r="P70" i="1"/>
  <c r="R70" i="1" s="1"/>
  <c r="P7" i="1"/>
  <c r="R7" i="1" s="1"/>
  <c r="P315" i="1"/>
  <c r="R315" i="1" s="1"/>
  <c r="P672" i="1"/>
  <c r="R672" i="1" s="1"/>
  <c r="P169" i="1"/>
  <c r="R169" i="1" s="1"/>
  <c r="P410" i="1"/>
  <c r="R410" i="1" s="1"/>
  <c r="P214" i="1"/>
  <c r="R214" i="1" s="1"/>
  <c r="P78" i="1"/>
  <c r="R78" i="1" s="1"/>
  <c r="P662" i="1"/>
  <c r="R662" i="1" s="1"/>
  <c r="P213" i="1"/>
  <c r="R213" i="1" s="1"/>
  <c r="P14" i="1"/>
  <c r="R14" i="1" s="1"/>
  <c r="P732" i="1"/>
  <c r="R732" i="1" s="1"/>
  <c r="P393" i="1"/>
  <c r="R393" i="1" s="1"/>
  <c r="P51" i="1"/>
  <c r="R51" i="1" s="1"/>
  <c r="P510" i="1"/>
  <c r="R510" i="1" s="1"/>
  <c r="P491" i="1"/>
  <c r="R491" i="1" s="1"/>
  <c r="P526" i="1"/>
  <c r="R526" i="1" s="1"/>
  <c r="P261" i="1"/>
  <c r="R261" i="1" s="1"/>
  <c r="P11" i="1"/>
  <c r="R11" i="1" s="1"/>
  <c r="P744" i="1"/>
  <c r="R744" i="1" s="1"/>
  <c r="P407" i="1"/>
  <c r="R407" i="1" s="1"/>
  <c r="P1001" i="1"/>
  <c r="R1001" i="1" s="1"/>
  <c r="P462" i="1"/>
  <c r="R462" i="1" s="1"/>
  <c r="P223" i="1"/>
  <c r="R223" i="1" s="1"/>
  <c r="P309" i="1"/>
  <c r="R309" i="1" s="1"/>
  <c r="P868" i="1"/>
  <c r="R868" i="1" s="1"/>
  <c r="P406" i="1"/>
  <c r="R406" i="1" s="1"/>
  <c r="P699" i="1"/>
  <c r="R699" i="1" s="1"/>
  <c r="P670" i="1"/>
  <c r="R670" i="1" s="1"/>
  <c r="P167" i="1"/>
  <c r="R167" i="1" s="1"/>
  <c r="P867" i="1"/>
  <c r="R867" i="1" s="1"/>
  <c r="P89" i="1"/>
  <c r="R89" i="1" s="1"/>
  <c r="P69" i="1"/>
  <c r="R69" i="1" s="1"/>
  <c r="P698" i="1"/>
  <c r="R698" i="1" s="1"/>
  <c r="P657" i="1"/>
  <c r="R657" i="1" s="1"/>
  <c r="P901" i="1"/>
  <c r="R901" i="1" s="1"/>
  <c r="P555" i="1"/>
  <c r="R555" i="1" s="1"/>
  <c r="P314" i="1"/>
  <c r="R314" i="1" s="1"/>
  <c r="P92" i="1"/>
  <c r="R92" i="1" s="1"/>
  <c r="P88" i="1"/>
  <c r="R88" i="1" s="1"/>
  <c r="P632" i="1"/>
  <c r="R632" i="1" s="1"/>
  <c r="P210" i="1"/>
  <c r="R210" i="1" s="1"/>
  <c r="P956" i="1"/>
  <c r="R956" i="1" s="1"/>
  <c r="P866" i="1"/>
  <c r="R866" i="1" s="1"/>
  <c r="P985" i="1"/>
  <c r="R985" i="1" s="1"/>
  <c r="P706" i="1"/>
  <c r="R706" i="1" s="1"/>
  <c r="P881" i="1"/>
  <c r="R881" i="1" s="1"/>
  <c r="P896" i="1"/>
  <c r="R896" i="1" s="1"/>
  <c r="P797" i="1"/>
  <c r="R797" i="1" s="1"/>
  <c r="P509" i="1"/>
  <c r="R509" i="1" s="1"/>
  <c r="P940" i="1"/>
  <c r="R940" i="1" s="1"/>
  <c r="P668" i="1"/>
  <c r="R668" i="1" s="1"/>
  <c r="P976" i="1"/>
  <c r="R976" i="1" s="1"/>
  <c r="P68" i="1"/>
  <c r="R68" i="1" s="1"/>
  <c r="P667" i="1"/>
  <c r="R667" i="1" s="1"/>
  <c r="P631" i="1"/>
  <c r="R631" i="1" s="1"/>
  <c r="P895" i="1"/>
  <c r="R895" i="1" s="1"/>
  <c r="P32" i="1"/>
  <c r="R32" i="1" s="1"/>
  <c r="P916" i="1"/>
  <c r="R916" i="1" s="1"/>
  <c r="P31" i="1"/>
  <c r="R31" i="1" s="1"/>
  <c r="P894" i="1"/>
  <c r="R894" i="1" s="1"/>
  <c r="P998" i="1"/>
  <c r="R998" i="1" s="1"/>
  <c r="P939" i="1"/>
  <c r="R939" i="1" s="1"/>
  <c r="P129" i="1"/>
  <c r="R129" i="1" s="1"/>
  <c r="P538" i="1"/>
  <c r="R538" i="1" s="1"/>
  <c r="P87" i="1"/>
  <c r="R87" i="1" s="1"/>
  <c r="P563" i="1"/>
  <c r="R563" i="1" s="1"/>
  <c r="P209" i="1"/>
  <c r="R209" i="1" s="1"/>
  <c r="P257" i="1"/>
  <c r="R257" i="1" s="1"/>
  <c r="P655" i="1"/>
  <c r="R655" i="1" s="1"/>
  <c r="P927" i="1"/>
  <c r="R927" i="1" s="1"/>
  <c r="P9" i="1"/>
  <c r="R9" i="1" s="1"/>
  <c r="P589" i="1"/>
  <c r="R589" i="1" s="1"/>
  <c r="P28" i="1"/>
  <c r="R28" i="1" s="1"/>
  <c r="P137" i="1"/>
  <c r="R137" i="1" s="1"/>
  <c r="P6" i="1"/>
  <c r="R6" i="1" s="1"/>
  <c r="P383" i="1"/>
  <c r="R383" i="1" s="1"/>
  <c r="P938" i="1"/>
  <c r="R938" i="1" s="1"/>
  <c r="P194" i="1"/>
  <c r="R194" i="1" s="1"/>
  <c r="P313" i="1"/>
  <c r="R313" i="1" s="1"/>
  <c r="P549" i="1"/>
  <c r="R549" i="1" s="1"/>
  <c r="P29" i="1"/>
  <c r="R29" i="1" s="1"/>
  <c r="P856" i="1"/>
  <c r="R856" i="1" s="1"/>
  <c r="P326" i="1"/>
  <c r="R326" i="1" s="1"/>
  <c r="P303" i="1"/>
  <c r="R303" i="1" s="1"/>
  <c r="P161" i="1"/>
  <c r="R161" i="1" s="1"/>
  <c r="P629" i="1"/>
  <c r="R629" i="1" s="1"/>
  <c r="P891" i="1"/>
  <c r="R891" i="1" s="1"/>
  <c r="P143" i="1"/>
  <c r="R143" i="1" s="1"/>
  <c r="P423" i="1"/>
  <c r="R423" i="1" s="1"/>
  <c r="P23" i="1"/>
  <c r="R23" i="1" s="1"/>
  <c r="P880" i="1"/>
  <c r="R880" i="1" s="1"/>
  <c r="P346" i="1"/>
  <c r="R346" i="1" s="1"/>
  <c r="P459" i="1"/>
  <c r="R459" i="1" s="1"/>
  <c r="P166" i="1"/>
  <c r="R166" i="1" s="1"/>
  <c r="P865" i="1"/>
  <c r="R865" i="1" s="1"/>
  <c r="P205" i="1"/>
  <c r="R205" i="1" s="1"/>
  <c r="P628" i="1"/>
  <c r="R628" i="1" s="1"/>
  <c r="P325" i="1"/>
  <c r="R325" i="1" s="1"/>
  <c r="P117" i="1"/>
  <c r="R117" i="1" s="1"/>
  <c r="P807" i="1"/>
  <c r="R807" i="1" s="1"/>
  <c r="P806" i="1"/>
  <c r="R806" i="1" s="1"/>
  <c r="P588" i="1"/>
  <c r="R588" i="1" s="1"/>
  <c r="P401" i="1"/>
  <c r="R401" i="1" s="1"/>
  <c r="P400" i="1"/>
  <c r="R400" i="1" s="1"/>
  <c r="P910" i="1"/>
  <c r="R910" i="1" s="1"/>
  <c r="P507" i="1"/>
  <c r="R507" i="1" s="1"/>
  <c r="P855" i="1"/>
  <c r="R855" i="1" s="1"/>
  <c r="P954" i="1"/>
  <c r="R954" i="1" s="1"/>
  <c r="P301" i="1"/>
  <c r="R301" i="1" s="1"/>
  <c r="P772" i="1"/>
  <c r="R772" i="1" s="1"/>
  <c r="P142" i="1"/>
  <c r="R142" i="1" s="1"/>
  <c r="P598" i="1"/>
  <c r="R598" i="1" s="1"/>
  <c r="P562" i="1"/>
  <c r="R562" i="1" s="1"/>
  <c r="P246" i="1"/>
  <c r="R246" i="1" s="1"/>
  <c r="P3" i="1"/>
  <c r="R3" i="1" s="1"/>
  <c r="P731" i="1"/>
  <c r="R731" i="1" s="1"/>
  <c r="P352" i="1"/>
  <c r="R352" i="1" s="1"/>
  <c r="P417" i="1"/>
  <c r="R417" i="1" s="1"/>
  <c r="P835" i="1"/>
  <c r="R835" i="1" s="1"/>
  <c r="P47" i="1"/>
  <c r="R47" i="1" s="1"/>
  <c r="P997" i="1"/>
  <c r="R997" i="1" s="1"/>
  <c r="P183" i="1"/>
  <c r="R183" i="1" s="1"/>
  <c r="P990" i="1"/>
  <c r="R990" i="1" s="1"/>
  <c r="P879" i="1"/>
  <c r="R879" i="1" s="1"/>
  <c r="P548" i="1"/>
  <c r="R548" i="1" s="1"/>
  <c r="P45" i="1"/>
  <c r="R45" i="1" s="1"/>
  <c r="P20" i="1"/>
  <c r="R20" i="1" s="1"/>
  <c r="P606" i="1"/>
  <c r="R606" i="1" s="1"/>
  <c r="P627" i="1"/>
  <c r="R627" i="1" s="1"/>
  <c r="P91" i="1"/>
  <c r="R91" i="1" s="1"/>
  <c r="P10" i="1"/>
  <c r="R10" i="1" s="1"/>
  <c r="P683" i="1"/>
  <c r="R683" i="1" s="1"/>
  <c r="P286" i="1"/>
  <c r="R286" i="1" s="1"/>
  <c r="P90" i="1"/>
  <c r="R90" i="1" s="1"/>
  <c r="P994" i="1"/>
  <c r="R994" i="1" s="1"/>
  <c r="P735" i="1"/>
  <c r="R735" i="1" s="1"/>
  <c r="P22" i="1"/>
  <c r="R22" i="1" s="1"/>
  <c r="P833" i="1"/>
  <c r="R833" i="1" s="1"/>
  <c r="P344" i="1"/>
  <c r="R344" i="1" s="1"/>
  <c r="P84" i="1"/>
  <c r="R84" i="1" s="1"/>
  <c r="P5" i="1"/>
  <c r="R5" i="1" s="1"/>
  <c r="P55" i="1"/>
  <c r="R55" i="1" s="1"/>
  <c r="P552" i="1"/>
  <c r="R552" i="1" s="1"/>
  <c r="P710" i="1"/>
  <c r="R710" i="1" s="1"/>
  <c r="P787" i="1"/>
  <c r="R787" i="1" s="1"/>
  <c r="P363" i="1"/>
  <c r="R363" i="1" s="1"/>
  <c r="P416" i="1"/>
  <c r="R416" i="1" s="1"/>
  <c r="P190" i="1"/>
  <c r="R190" i="1" s="1"/>
  <c r="P285" i="1"/>
  <c r="R285" i="1" s="1"/>
  <c r="P456" i="1"/>
  <c r="R456" i="1" s="1"/>
  <c r="P709" i="1"/>
  <c r="R709" i="1" s="1"/>
  <c r="P343" i="1"/>
  <c r="R343" i="1" s="1"/>
  <c r="P878" i="1"/>
  <c r="R878" i="1" s="1"/>
  <c r="P44" i="1"/>
  <c r="R44" i="1" s="1"/>
  <c r="P283" i="1"/>
  <c r="R283" i="1" s="1"/>
  <c r="P586" i="1"/>
  <c r="R586" i="1" s="1"/>
  <c r="P989" i="1"/>
  <c r="R989" i="1" s="1"/>
  <c r="P253" i="1"/>
  <c r="R253" i="1" s="1"/>
  <c r="P200" i="1"/>
  <c r="R200" i="1" s="1"/>
  <c r="P2" i="1"/>
  <c r="R2" i="1" s="1"/>
  <c r="P969" i="1"/>
  <c r="R969" i="1" s="1"/>
  <c r="P115" i="1"/>
  <c r="R115" i="1" s="1"/>
  <c r="P454" i="1"/>
  <c r="R454" i="1" s="1"/>
  <c r="P982" i="1"/>
  <c r="R982" i="1" s="1"/>
  <c r="P27" i="1"/>
  <c r="R27" i="1" s="1"/>
  <c r="P529" i="1"/>
  <c r="R529" i="1" s="1"/>
  <c r="P141" i="1"/>
  <c r="R141" i="1" s="1"/>
  <c r="P26" i="1"/>
  <c r="R26" i="1" s="1"/>
  <c r="P1000" i="1"/>
  <c r="R1000" i="1" s="1"/>
  <c r="P730" i="1"/>
  <c r="R730" i="1" s="1"/>
  <c r="P362" i="1"/>
  <c r="R362" i="1" s="1"/>
  <c r="P136" i="1"/>
  <c r="R136" i="1" s="1"/>
  <c r="P67" i="1"/>
  <c r="R67" i="1" s="1"/>
  <c r="P13" i="1"/>
  <c r="R13" i="1" s="1"/>
  <c r="P948" i="1"/>
  <c r="R948" i="1" s="1"/>
  <c r="P77" i="1"/>
  <c r="R77" i="1" s="1"/>
  <c r="P8" i="1"/>
  <c r="R8" i="1" s="1"/>
  <c r="P385" i="1"/>
  <c r="R385" i="1" s="1"/>
  <c r="P54" i="1"/>
  <c r="R54" i="1" s="1"/>
  <c r="P746" i="1"/>
  <c r="R746" i="1" s="1"/>
  <c r="P926" i="1"/>
  <c r="R926" i="1" s="1"/>
  <c r="P342" i="1"/>
  <c r="R342" i="1" s="1"/>
  <c r="P12" i="1"/>
  <c r="R12" i="1" s="1"/>
  <c r="P25" i="1"/>
  <c r="R25" i="1" s="1"/>
  <c r="P674" i="1"/>
  <c r="R674" i="1" s="1"/>
  <c r="P493" i="1"/>
  <c r="R493" i="1" s="1"/>
  <c r="P155" i="1"/>
  <c r="R155" i="1" s="1"/>
  <c r="P813" i="1"/>
  <c r="R813" i="1" s="1"/>
  <c r="P503" i="1"/>
  <c r="R503" i="1" s="1"/>
  <c r="P451" i="1"/>
  <c r="R451" i="1" s="1"/>
  <c r="P502" i="1"/>
  <c r="R502" i="1" s="1"/>
  <c r="P42" i="1"/>
  <c r="R42" i="1" s="1"/>
  <c r="P465" i="1"/>
  <c r="R465" i="1" s="1"/>
  <c r="P860" i="1"/>
  <c r="R860" i="1" s="1"/>
  <c r="P651" i="1"/>
  <c r="R651" i="1" s="1"/>
  <c r="P967" i="1"/>
  <c r="R967" i="1" s="1"/>
  <c r="P546" i="1"/>
  <c r="R546" i="1" s="1"/>
  <c r="P53" i="1"/>
  <c r="R53" i="1" s="1"/>
  <c r="P946" i="1"/>
  <c r="R946" i="1" s="1"/>
  <c r="P966" i="1"/>
  <c r="R966" i="1" s="1"/>
  <c r="P413" i="1"/>
  <c r="R413" i="1" s="1"/>
  <c r="P763" i="1"/>
  <c r="R763" i="1" s="1"/>
  <c r="P528" i="1"/>
  <c r="R528" i="1" s="1"/>
  <c r="P690" i="1"/>
  <c r="R690" i="1" s="1"/>
  <c r="P113" i="1"/>
  <c r="R113" i="1" s="1"/>
  <c r="P812" i="1"/>
  <c r="R812" i="1" s="1"/>
  <c r="P680" i="1"/>
  <c r="R680" i="1" s="1"/>
  <c r="P700" i="1"/>
  <c r="R700" i="1" s="1"/>
  <c r="P475" i="1"/>
  <c r="R475" i="1" s="1"/>
  <c r="P171" i="1"/>
  <c r="R171" i="1" s="1"/>
  <c r="P501" i="1"/>
  <c r="R501" i="1" s="1"/>
  <c r="P646" i="1"/>
  <c r="R646" i="1" s="1"/>
  <c r="P980" i="1"/>
  <c r="R980" i="1" s="1"/>
  <c r="P621" i="1"/>
  <c r="R621" i="1" s="1"/>
  <c r="P135" i="1"/>
  <c r="R135" i="1" s="1"/>
  <c r="P312" i="1"/>
  <c r="R312" i="1" s="1"/>
  <c r="P276" i="1"/>
  <c r="R276" i="1" s="1"/>
  <c r="P134" i="1"/>
  <c r="R134" i="1" s="1"/>
  <c r="P751" i="1"/>
  <c r="R751" i="1" s="1"/>
  <c r="P876" i="1"/>
  <c r="R876" i="1" s="1"/>
  <c r="P898" i="1"/>
  <c r="R898" i="1" s="1"/>
  <c r="P429" i="1"/>
  <c r="R429" i="1" s="1"/>
  <c r="P500" i="1"/>
  <c r="R500" i="1" s="1"/>
  <c r="P120" i="1"/>
  <c r="R120" i="1" s="1"/>
  <c r="P874" i="1"/>
  <c r="R874" i="1" s="1"/>
  <c r="P575" i="1"/>
  <c r="R575" i="1" s="1"/>
  <c r="P337" i="1"/>
  <c r="R337" i="1" s="1"/>
  <c r="P310" i="1"/>
  <c r="R310" i="1" s="1"/>
  <c r="P282" i="1"/>
  <c r="R282" i="1" s="1"/>
  <c r="P281" i="1"/>
  <c r="R281" i="1" s="1"/>
  <c r="P109" i="1"/>
  <c r="R109" i="1" s="1"/>
  <c r="P545" i="1"/>
  <c r="R545" i="1" s="1"/>
  <c r="P853" i="1"/>
  <c r="R853" i="1" s="1"/>
  <c r="P636" i="1"/>
  <c r="R636" i="1" s="1"/>
  <c r="P380" i="1"/>
  <c r="R380" i="1" s="1"/>
  <c r="P750" i="1"/>
  <c r="R750" i="1" s="1"/>
  <c r="P620" i="1"/>
  <c r="R620" i="1" s="1"/>
  <c r="P945" i="1"/>
  <c r="R945" i="1" s="1"/>
  <c r="P638" i="1"/>
  <c r="R638" i="1" s="1"/>
  <c r="P619" i="1"/>
  <c r="R619" i="1" s="1"/>
  <c r="P439" i="1"/>
  <c r="R439" i="1" s="1"/>
  <c r="P264" i="1"/>
  <c r="R264" i="1" s="1"/>
  <c r="P566" i="1"/>
  <c r="R566" i="1" s="1"/>
  <c r="P263" i="1"/>
  <c r="R263" i="1" s="1"/>
  <c r="P965" i="1"/>
  <c r="R965" i="1" s="1"/>
  <c r="P602" i="1"/>
  <c r="R602" i="1" s="1"/>
  <c r="P41" i="1"/>
  <c r="R41" i="1" s="1"/>
  <c r="P816" i="1"/>
  <c r="R816" i="1" s="1"/>
  <c r="P745" i="1"/>
  <c r="R745" i="1" s="1"/>
  <c r="P792" i="1"/>
  <c r="R792" i="1" s="1"/>
  <c r="P918" i="1"/>
  <c r="R918" i="1" s="1"/>
  <c r="P762" i="1"/>
  <c r="R762" i="1" s="1"/>
  <c r="P527" i="1"/>
  <c r="R527" i="1" s="1"/>
  <c r="P170" i="1"/>
  <c r="R170" i="1" s="1"/>
  <c r="P673" i="1"/>
  <c r="R673" i="1" s="1"/>
  <c r="P537" i="1"/>
  <c r="R537" i="1" s="1"/>
  <c r="P810" i="1"/>
  <c r="R810" i="1" s="1"/>
  <c r="P859" i="1"/>
  <c r="R859" i="1" s="1"/>
  <c r="P964" i="1"/>
  <c r="R964" i="1" s="1"/>
  <c r="P749" i="1"/>
  <c r="R749" i="1" s="1"/>
  <c r="P634" i="1"/>
  <c r="R634" i="1" s="1"/>
  <c r="P218" i="1"/>
  <c r="R218" i="1" s="1"/>
  <c r="P225" i="1"/>
  <c r="R225" i="1" s="1"/>
  <c r="P726" i="1"/>
  <c r="R726" i="1" s="1"/>
  <c r="P52" i="1"/>
  <c r="R52" i="1" s="1"/>
  <c r="P217" i="1"/>
  <c r="R217" i="1" s="1"/>
  <c r="P119" i="1"/>
  <c r="R119" i="1" s="1"/>
  <c r="P154" i="1"/>
  <c r="R154" i="1" s="1"/>
  <c r="P125" i="1"/>
  <c r="R125" i="1" s="1"/>
  <c r="P369" i="1"/>
  <c r="R369" i="1" s="1"/>
  <c r="P216" i="1"/>
  <c r="R216" i="1" s="1"/>
  <c r="P574" i="1"/>
  <c r="R574" i="1" s="1"/>
  <c r="P195" i="1"/>
  <c r="R195" i="1" s="1"/>
  <c r="P140" i="1"/>
  <c r="R140" i="1" s="1"/>
  <c r="P585" i="1"/>
  <c r="R585" i="1" s="1"/>
  <c r="P237" i="1"/>
  <c r="R237" i="1" s="1"/>
  <c r="P688" i="1"/>
  <c r="R688" i="1" s="1"/>
  <c r="P858" i="1"/>
  <c r="R858" i="1" s="1"/>
  <c r="P481" i="1"/>
  <c r="R481" i="1" s="1"/>
  <c r="P215" i="1"/>
  <c r="R215" i="1" s="1"/>
  <c r="P480" i="1"/>
  <c r="R480" i="1" s="1"/>
  <c r="P411" i="1"/>
  <c r="R411" i="1" s="1"/>
  <c r="P230" i="1"/>
  <c r="R230" i="1" s="1"/>
  <c r="P565" i="1"/>
  <c r="R565" i="1" s="1"/>
  <c r="P979" i="1"/>
  <c r="R979" i="1" s="1"/>
  <c r="P262" i="1"/>
  <c r="R262" i="1" s="1"/>
  <c r="P66" i="1"/>
  <c r="R66" i="1" s="1"/>
  <c r="P76" i="1"/>
  <c r="R76" i="1" s="1"/>
  <c r="P379" i="1"/>
  <c r="R379" i="1" s="1"/>
  <c r="P815" i="1"/>
  <c r="R815" i="1" s="1"/>
  <c r="P40" i="1"/>
  <c r="R40" i="1" s="1"/>
  <c r="P349" i="1"/>
  <c r="R349" i="1" s="1"/>
  <c r="P182" i="1"/>
  <c r="R182" i="1" s="1"/>
  <c r="P39" i="1"/>
  <c r="R39" i="1" s="1"/>
  <c r="P830" i="1"/>
  <c r="R830" i="1" s="1"/>
  <c r="P132" i="1"/>
  <c r="R132" i="1" s="1"/>
  <c r="P394" i="1"/>
  <c r="R394" i="1" s="1"/>
  <c r="P809" i="1"/>
  <c r="R809" i="1" s="1"/>
  <c r="P718" i="1"/>
  <c r="R718" i="1" s="1"/>
  <c r="P770" i="1"/>
  <c r="R770" i="1" s="1"/>
  <c r="P236" i="1"/>
  <c r="R236" i="1" s="1"/>
  <c r="P687" i="1"/>
  <c r="R687" i="1" s="1"/>
  <c r="P438" i="1"/>
  <c r="R438" i="1" s="1"/>
  <c r="P490" i="1"/>
  <c r="R490" i="1" s="1"/>
  <c r="P260" i="1"/>
  <c r="R260" i="1" s="1"/>
  <c r="P748" i="1"/>
  <c r="R748" i="1" s="1"/>
  <c r="P871" i="1"/>
  <c r="R871" i="1" s="1"/>
  <c r="P428" i="1"/>
  <c r="R428" i="1" s="1"/>
  <c r="P58" i="1"/>
  <c r="R58" i="1" s="1"/>
  <c r="P725" i="1"/>
  <c r="R725" i="1" s="1"/>
  <c r="P248" i="1"/>
  <c r="R248" i="1" s="1"/>
  <c r="P963" i="1"/>
  <c r="R963" i="1" s="1"/>
  <c r="P829" i="1"/>
  <c r="R829" i="1" s="1"/>
  <c r="P168" i="1"/>
  <c r="R168" i="1" s="1"/>
  <c r="P781" i="1"/>
  <c r="R781" i="1" s="1"/>
  <c r="P525" i="1"/>
  <c r="R525" i="1" s="1"/>
  <c r="P905" i="1"/>
  <c r="R905" i="1" s="1"/>
  <c r="P409" i="1"/>
  <c r="R409" i="1" s="1"/>
  <c r="P661" i="1"/>
  <c r="R661" i="1" s="1"/>
  <c r="P524" i="1"/>
  <c r="R524" i="1" s="1"/>
  <c r="P224" i="1"/>
  <c r="R224" i="1" s="1"/>
  <c r="P870" i="1"/>
  <c r="R870" i="1" s="1"/>
  <c r="P852" i="1"/>
  <c r="R852" i="1" s="1"/>
  <c r="P845" i="1"/>
  <c r="R845" i="1" s="1"/>
  <c r="P671" i="1"/>
  <c r="R671" i="1" s="1"/>
  <c r="P650" i="1"/>
  <c r="R650" i="1" s="1"/>
  <c r="P427" i="1"/>
  <c r="R427" i="1" s="1"/>
  <c r="P450" i="1"/>
  <c r="R450" i="1" s="1"/>
  <c r="P869" i="1"/>
  <c r="R869" i="1" s="1"/>
  <c r="P296" i="1"/>
  <c r="R296" i="1" s="1"/>
  <c r="P463" i="1"/>
  <c r="R463" i="1" s="1"/>
  <c r="P446" i="1"/>
  <c r="R446" i="1" s="1"/>
  <c r="P897" i="1"/>
  <c r="R897" i="1" s="1"/>
  <c r="P212" i="1"/>
  <c r="R212" i="1" s="1"/>
  <c r="P660" i="1"/>
  <c r="R660" i="1" s="1"/>
  <c r="P392" i="1"/>
  <c r="R392" i="1" s="1"/>
  <c r="P153" i="1"/>
  <c r="R153" i="1" s="1"/>
  <c r="P229" i="1"/>
  <c r="R229" i="1" s="1"/>
  <c r="P131" i="1"/>
  <c r="R131" i="1" s="1"/>
  <c r="P152" i="1"/>
  <c r="R152" i="1" s="1"/>
  <c r="P584" i="1"/>
  <c r="R584" i="1" s="1"/>
  <c r="P239" i="1"/>
  <c r="R239" i="1" s="1"/>
  <c r="P659" i="1"/>
  <c r="R659" i="1" s="1"/>
  <c r="P275" i="1"/>
  <c r="R275" i="1" s="1"/>
  <c r="P473" i="1"/>
  <c r="R473" i="1" s="1"/>
  <c r="P295" i="1"/>
  <c r="R295" i="1" s="1"/>
  <c r="P799" i="1"/>
  <c r="R799" i="1" s="1"/>
  <c r="P851" i="1"/>
  <c r="R851" i="1" s="1"/>
  <c r="P523" i="1"/>
  <c r="R523" i="1" s="1"/>
  <c r="P499" i="1"/>
  <c r="R499" i="1" s="1"/>
  <c r="P978" i="1"/>
  <c r="R978" i="1" s="1"/>
  <c r="P761" i="1"/>
  <c r="R761" i="1" s="1"/>
  <c r="P336" i="1"/>
  <c r="R336" i="1" s="1"/>
  <c r="P38" i="1"/>
  <c r="R38" i="1" s="1"/>
  <c r="P356" i="1"/>
  <c r="R356" i="1" s="1"/>
  <c r="P294" i="1"/>
  <c r="R294" i="1" s="1"/>
  <c r="P274" i="1"/>
  <c r="R274" i="1" s="1"/>
  <c r="P522" i="1"/>
  <c r="R522" i="1" s="1"/>
  <c r="P536" i="1"/>
  <c r="R536" i="1" s="1"/>
  <c r="P820" i="1"/>
  <c r="R820" i="1" s="1"/>
  <c r="P544" i="1"/>
  <c r="R544" i="1" s="1"/>
  <c r="P181" i="1"/>
  <c r="R181" i="1" s="1"/>
  <c r="P977" i="1"/>
  <c r="R977" i="1" s="1"/>
  <c r="P601" i="1"/>
  <c r="R601" i="1" s="1"/>
  <c r="P850" i="1"/>
  <c r="R850" i="1" s="1"/>
  <c r="P378" i="1"/>
  <c r="R378" i="1" s="1"/>
  <c r="P780" i="1"/>
  <c r="R780" i="1" s="1"/>
  <c r="P489" i="1"/>
  <c r="R489" i="1" s="1"/>
  <c r="P521" i="1"/>
  <c r="R521" i="1" s="1"/>
  <c r="P564" i="1"/>
  <c r="R564" i="1" s="1"/>
  <c r="P760" i="1"/>
  <c r="R760" i="1" s="1"/>
  <c r="P235" i="1"/>
  <c r="R235" i="1" s="1"/>
  <c r="P743" i="1"/>
  <c r="R743" i="1" s="1"/>
  <c r="P554" i="1"/>
  <c r="R554" i="1" s="1"/>
  <c r="P437" i="1"/>
  <c r="R437" i="1" s="1"/>
  <c r="P259" i="1"/>
  <c r="R259" i="1" s="1"/>
  <c r="P656" i="1"/>
  <c r="R656" i="1" s="1"/>
  <c r="P65" i="1"/>
  <c r="R65" i="1" s="1"/>
  <c r="P798" i="1"/>
  <c r="R798" i="1" s="1"/>
  <c r="P391" i="1"/>
  <c r="R391" i="1" s="1"/>
  <c r="P944" i="1"/>
  <c r="R944" i="1" s="1"/>
  <c r="P368" i="1"/>
  <c r="R368" i="1" s="1"/>
  <c r="P405" i="1"/>
  <c r="R405" i="1" s="1"/>
  <c r="P779" i="1"/>
  <c r="R779" i="1" s="1"/>
  <c r="P778" i="1"/>
  <c r="R778" i="1" s="1"/>
  <c r="P258" i="1"/>
  <c r="R258" i="1" s="1"/>
  <c r="P436" i="1"/>
  <c r="R436" i="1" s="1"/>
  <c r="P808" i="1"/>
  <c r="R808" i="1" s="1"/>
  <c r="P273" i="1"/>
  <c r="R273" i="1" s="1"/>
  <c r="P37" i="1"/>
  <c r="R37" i="1" s="1"/>
  <c r="P108" i="1"/>
  <c r="R108" i="1" s="1"/>
  <c r="P535" i="1"/>
  <c r="R535" i="1" s="1"/>
  <c r="P268" i="1"/>
  <c r="R268" i="1" s="1"/>
  <c r="P669" i="1"/>
  <c r="R669" i="1" s="1"/>
  <c r="P828" i="1"/>
  <c r="R828" i="1" s="1"/>
  <c r="P50" i="1"/>
  <c r="R50" i="1" s="1"/>
  <c r="P234" i="1"/>
  <c r="R234" i="1" s="1"/>
  <c r="P543" i="1"/>
  <c r="R543" i="1" s="1"/>
  <c r="P211" i="1"/>
  <c r="R211" i="1" s="1"/>
  <c r="P962" i="1"/>
  <c r="R962" i="1" s="1"/>
  <c r="P247" i="1"/>
  <c r="R247" i="1" s="1"/>
  <c r="P36" i="1"/>
  <c r="R36" i="1" s="1"/>
  <c r="P461" i="1"/>
  <c r="R461" i="1" s="1"/>
  <c r="P139" i="1"/>
  <c r="R139" i="1" s="1"/>
  <c r="P975" i="1"/>
  <c r="R975" i="1" s="1"/>
  <c r="P777" i="1"/>
  <c r="R777" i="1" s="1"/>
  <c r="P124" i="1"/>
  <c r="R124" i="1" s="1"/>
  <c r="P293" i="1"/>
  <c r="R293" i="1" s="1"/>
  <c r="P508" i="1"/>
  <c r="R508" i="1" s="1"/>
  <c r="P107" i="1"/>
  <c r="R107" i="1" s="1"/>
  <c r="P961" i="1"/>
  <c r="R961" i="1" s="1"/>
  <c r="P472" i="1"/>
  <c r="R472" i="1" s="1"/>
  <c r="P130" i="1"/>
  <c r="R130" i="1" s="1"/>
  <c r="P742" i="1"/>
  <c r="R742" i="1" s="1"/>
  <c r="P724" i="1"/>
  <c r="R724" i="1" s="1"/>
  <c r="P118" i="1"/>
  <c r="R118" i="1" s="1"/>
  <c r="P162" i="1"/>
  <c r="R162" i="1" s="1"/>
  <c r="P35" i="1"/>
  <c r="R35" i="1" s="1"/>
  <c r="P292" i="1"/>
  <c r="R292" i="1" s="1"/>
  <c r="P705" i="1"/>
  <c r="R705" i="1" s="1"/>
  <c r="P308" i="1"/>
  <c r="R308" i="1" s="1"/>
  <c r="P849" i="1"/>
  <c r="R849" i="1" s="1"/>
  <c r="P233" i="1"/>
  <c r="R233" i="1" s="1"/>
  <c r="P307" i="1"/>
  <c r="R307" i="1" s="1"/>
  <c r="P180" i="1"/>
  <c r="R180" i="1" s="1"/>
  <c r="P796" i="1"/>
  <c r="R796" i="1" s="1"/>
  <c r="P542" i="1"/>
  <c r="R542" i="1" s="1"/>
  <c r="P151" i="1"/>
  <c r="R151" i="1" s="1"/>
  <c r="P534" i="1"/>
  <c r="R534" i="1" s="1"/>
  <c r="P150" i="1"/>
  <c r="R150" i="1" s="1"/>
  <c r="P741" i="1"/>
  <c r="R741" i="1" s="1"/>
  <c r="P645" i="1"/>
  <c r="R645" i="1" s="1"/>
  <c r="P228" i="1"/>
  <c r="R228" i="1" s="1"/>
  <c r="P679" i="1"/>
  <c r="R679" i="1" s="1"/>
  <c r="P306" i="1"/>
  <c r="R306" i="1" s="1"/>
  <c r="P695" i="1"/>
  <c r="R695" i="1" s="1"/>
  <c r="P541" i="1"/>
  <c r="R541" i="1" s="1"/>
  <c r="P893" i="1"/>
  <c r="R893" i="1" s="1"/>
  <c r="P354" i="1"/>
  <c r="R354" i="1" s="1"/>
  <c r="P844" i="1"/>
  <c r="R844" i="1" s="1"/>
  <c r="P583" i="1"/>
  <c r="R583" i="1" s="1"/>
  <c r="P471" i="1"/>
  <c r="R471" i="1" s="1"/>
  <c r="P348" i="1"/>
  <c r="R348" i="1" s="1"/>
  <c r="P697" i="1"/>
  <c r="R697" i="1" s="1"/>
  <c r="P267" i="1"/>
  <c r="R267" i="1" s="1"/>
  <c r="P280" i="1"/>
  <c r="R280" i="1" s="1"/>
  <c r="P498" i="1"/>
  <c r="R498" i="1" s="1"/>
  <c r="P99" i="1"/>
  <c r="R99" i="1" s="1"/>
  <c r="P272" i="1"/>
  <c r="R272" i="1" s="1"/>
  <c r="P497" i="1"/>
  <c r="R497" i="1" s="1"/>
  <c r="P189" i="1"/>
  <c r="R189" i="1" s="1"/>
  <c r="P533" i="1"/>
  <c r="R533" i="1" s="1"/>
  <c r="P630" i="1"/>
  <c r="R630" i="1" s="1"/>
  <c r="P449" i="1"/>
  <c r="R449" i="1" s="1"/>
  <c r="P470" i="1"/>
  <c r="R470" i="1" s="1"/>
  <c r="P520" i="1"/>
  <c r="R520" i="1" s="1"/>
  <c r="P686" i="1"/>
  <c r="R686" i="1" s="1"/>
  <c r="P271" i="1"/>
  <c r="R271" i="1" s="1"/>
  <c r="P960" i="1"/>
  <c r="R960" i="1" s="1"/>
  <c r="P353" i="1"/>
  <c r="R353" i="1" s="1"/>
  <c r="P188" i="1"/>
  <c r="R188" i="1" s="1"/>
  <c r="P64" i="1"/>
  <c r="R64" i="1" s="1"/>
  <c r="P49" i="1"/>
  <c r="R49" i="1" s="1"/>
  <c r="P448" i="1"/>
  <c r="R448" i="1" s="1"/>
  <c r="P106" i="1"/>
  <c r="R106" i="1" s="1"/>
  <c r="P488" i="1"/>
  <c r="R488" i="1" s="1"/>
  <c r="P519" i="1"/>
  <c r="R519" i="1" s="1"/>
  <c r="P404" i="1"/>
  <c r="R404" i="1" s="1"/>
  <c r="P305" i="1"/>
  <c r="R305" i="1" s="1"/>
  <c r="P469" i="1"/>
  <c r="R469" i="1" s="1"/>
  <c r="P445" i="1"/>
  <c r="R445" i="1" s="1"/>
  <c r="P390" i="1"/>
  <c r="R390" i="1" s="1"/>
  <c r="P193" i="1"/>
  <c r="R193" i="1" s="1"/>
  <c r="P208" i="1"/>
  <c r="R208" i="1" s="1"/>
  <c r="P827" i="1"/>
  <c r="R827" i="1" s="1"/>
  <c r="P685" i="1"/>
  <c r="R685" i="1" s="1"/>
  <c r="P207" i="1"/>
  <c r="R207" i="1" s="1"/>
  <c r="P123" i="1"/>
  <c r="R123" i="1" s="1"/>
  <c r="P425" i="1"/>
  <c r="R425" i="1" s="1"/>
  <c r="P582" i="1"/>
  <c r="R582" i="1" s="1"/>
  <c r="P600" i="1"/>
  <c r="R600" i="1" s="1"/>
  <c r="P892" i="1"/>
  <c r="R892" i="1" s="1"/>
  <c r="P740" i="1"/>
  <c r="R740" i="1" s="1"/>
  <c r="P739" i="1"/>
  <c r="R739" i="1" s="1"/>
  <c r="P304" i="1"/>
  <c r="R304" i="1" s="1"/>
  <c r="P98" i="1"/>
  <c r="R98" i="1" s="1"/>
  <c r="P266" i="1"/>
  <c r="R266" i="1" s="1"/>
  <c r="P279" i="1"/>
  <c r="R279" i="1" s="1"/>
  <c r="P291" i="1"/>
  <c r="R291" i="1" s="1"/>
  <c r="P278" i="1"/>
  <c r="R278" i="1" s="1"/>
  <c r="P617" i="1"/>
  <c r="R617" i="1" s="1"/>
  <c r="P915" i="1"/>
  <c r="R915" i="1" s="1"/>
  <c r="P424" i="1"/>
  <c r="R424" i="1" s="1"/>
  <c r="P644" i="1"/>
  <c r="R644" i="1" s="1"/>
  <c r="P704" i="1"/>
  <c r="R704" i="1" s="1"/>
  <c r="P63" i="1"/>
  <c r="R63" i="1" s="1"/>
  <c r="P573" i="1"/>
  <c r="R573" i="1" s="1"/>
  <c r="P377" i="1"/>
  <c r="R377" i="1" s="1"/>
  <c r="P836" i="1"/>
  <c r="R836" i="1" s="1"/>
  <c r="P678" i="1"/>
  <c r="R678" i="1" s="1"/>
  <c r="P179" i="1"/>
  <c r="R179" i="1" s="1"/>
  <c r="P335" i="1"/>
  <c r="R335" i="1" s="1"/>
  <c r="P206" i="1"/>
  <c r="R206" i="1" s="1"/>
  <c r="P666" i="1"/>
  <c r="R666" i="1" s="1"/>
  <c r="P302" i="1"/>
  <c r="R302" i="1" s="1"/>
  <c r="P616" i="1"/>
  <c r="R616" i="1" s="1"/>
  <c r="P97" i="1"/>
  <c r="R97" i="1" s="1"/>
  <c r="P759" i="1"/>
  <c r="R759" i="1" s="1"/>
  <c r="P96" i="1"/>
  <c r="R96" i="1" s="1"/>
  <c r="P904" i="1"/>
  <c r="R904" i="1" s="1"/>
  <c r="P34" i="1"/>
  <c r="R34" i="1" s="1"/>
  <c r="P717" i="1"/>
  <c r="R717" i="1" s="1"/>
  <c r="P122" i="1"/>
  <c r="R122" i="1" s="1"/>
  <c r="P903" i="1"/>
  <c r="R903" i="1" s="1"/>
  <c r="P105" i="1"/>
  <c r="R105" i="1" s="1"/>
  <c r="P265" i="1"/>
  <c r="R265" i="1" s="1"/>
  <c r="P95" i="1"/>
  <c r="R95" i="1" s="1"/>
  <c r="P677" i="1"/>
  <c r="R677" i="1" s="1"/>
  <c r="P572" i="1"/>
  <c r="R572" i="1" s="1"/>
  <c r="P112" i="1"/>
  <c r="R112" i="1" s="1"/>
  <c r="P479" i="1"/>
  <c r="R479" i="1" s="1"/>
  <c r="P795" i="1"/>
  <c r="R795" i="1" s="1"/>
  <c r="P974" i="1"/>
  <c r="R974" i="1" s="1"/>
  <c r="P723" i="1"/>
  <c r="R723" i="1" s="1"/>
  <c r="P518" i="1"/>
  <c r="R518" i="1" s="1"/>
  <c r="P890" i="1"/>
  <c r="R890" i="1" s="1"/>
  <c r="P790" i="1"/>
  <c r="R790" i="1" s="1"/>
  <c r="P684" i="1"/>
  <c r="R684" i="1" s="1"/>
  <c r="P826" i="1"/>
  <c r="R826" i="1" s="1"/>
  <c r="P62" i="1"/>
  <c r="R62" i="1" s="1"/>
  <c r="P716" i="1"/>
  <c r="R716" i="1" s="1"/>
  <c r="P789" i="1"/>
  <c r="R789" i="1" s="1"/>
  <c r="P104" i="1"/>
  <c r="R104" i="1" s="1"/>
  <c r="P121" i="1"/>
  <c r="R121" i="1" s="1"/>
  <c r="P61" i="1"/>
  <c r="R61" i="1" s="1"/>
  <c r="P615" i="1"/>
  <c r="R615" i="1" s="1"/>
  <c r="P256" i="1"/>
  <c r="R256" i="1" s="1"/>
  <c r="P204" i="1"/>
  <c r="R204" i="1" s="1"/>
  <c r="P389" i="1"/>
  <c r="R389" i="1" s="1"/>
  <c r="P487" i="1"/>
  <c r="R487" i="1" s="1"/>
  <c r="P402" i="1"/>
  <c r="R402" i="1" s="1"/>
  <c r="P848" i="1"/>
  <c r="R848" i="1" s="1"/>
  <c r="P290" i="1"/>
  <c r="R290" i="1" s="1"/>
  <c r="P458" i="1"/>
  <c r="R458" i="1" s="1"/>
  <c r="P289" i="1"/>
  <c r="R289" i="1" s="1"/>
  <c r="P805" i="1"/>
  <c r="R805" i="1" s="1"/>
  <c r="P165" i="1"/>
  <c r="R165" i="1" s="1"/>
  <c r="P788" i="1"/>
  <c r="R788" i="1" s="1"/>
  <c r="P86" i="1"/>
  <c r="R86" i="1" s="1"/>
  <c r="P160" i="1"/>
  <c r="R160" i="1" s="1"/>
  <c r="P75" i="1"/>
  <c r="R75" i="1" s="1"/>
  <c r="P447" i="1"/>
  <c r="R447" i="1" s="1"/>
  <c r="P159" i="1"/>
  <c r="R159" i="1" s="1"/>
  <c r="P933" i="1"/>
  <c r="R933" i="1" s="1"/>
  <c r="P468" i="1"/>
  <c r="R468" i="1" s="1"/>
  <c r="P444" i="1"/>
  <c r="R444" i="1" s="1"/>
  <c r="P222" i="1"/>
  <c r="R222" i="1" s="1"/>
  <c r="P814" i="1"/>
  <c r="R814" i="1" s="1"/>
  <c r="P819" i="1"/>
  <c r="R819" i="1" s="1"/>
  <c r="P486" i="1"/>
  <c r="R486" i="1" s="1"/>
  <c r="P158" i="1"/>
  <c r="R158" i="1" s="1"/>
  <c r="P818" i="1"/>
  <c r="R818" i="1" s="1"/>
  <c r="P571" i="1"/>
  <c r="R571" i="1" s="1"/>
  <c r="P517" i="1"/>
  <c r="R517" i="1" s="1"/>
  <c r="P48" i="1"/>
  <c r="R48" i="1" s="1"/>
  <c r="P643" i="1"/>
  <c r="R643" i="1" s="1"/>
  <c r="P33" i="1"/>
  <c r="R33" i="1" s="1"/>
  <c r="P376" i="1"/>
  <c r="R376" i="1" s="1"/>
  <c r="P288" i="1"/>
  <c r="R288" i="1" s="1"/>
  <c r="P443" i="1"/>
  <c r="R443" i="1" s="1"/>
  <c r="P60" i="1"/>
  <c r="R60" i="1" s="1"/>
  <c r="P597" i="1"/>
  <c r="R597" i="1" s="1"/>
  <c r="P738" i="1"/>
  <c r="R738" i="1" s="1"/>
  <c r="P570" i="1"/>
  <c r="R570" i="1" s="1"/>
  <c r="P665" i="1"/>
  <c r="R665" i="1" s="1"/>
  <c r="P614" i="1"/>
  <c r="R614" i="1" s="1"/>
  <c r="P642" i="1"/>
  <c r="R642" i="1" s="1"/>
  <c r="P581" i="1"/>
  <c r="R581" i="1" s="1"/>
  <c r="P694" i="1"/>
  <c r="R694" i="1" s="1"/>
  <c r="P157" i="1"/>
  <c r="R157" i="1" s="1"/>
  <c r="P149" i="1"/>
  <c r="R149" i="1" s="1"/>
  <c r="P227" i="1"/>
  <c r="R227" i="1" s="1"/>
  <c r="P442" i="1"/>
  <c r="R442" i="1" s="1"/>
  <c r="P885" i="1"/>
  <c r="R885" i="1" s="1"/>
  <c r="P300" i="1"/>
  <c r="R300" i="1" s="1"/>
  <c r="P94" i="1"/>
  <c r="R94" i="1" s="1"/>
  <c r="P59" i="1"/>
  <c r="R59" i="1" s="1"/>
  <c r="P496" i="1"/>
  <c r="R496" i="1" s="1"/>
  <c r="P386" i="1"/>
  <c r="R386" i="1" s="1"/>
  <c r="P255" i="1"/>
  <c r="R255" i="1" s="1"/>
  <c r="P367" i="1"/>
  <c r="R367" i="1" s="1"/>
  <c r="P973" i="1"/>
  <c r="R973" i="1" s="1"/>
  <c r="P804" i="1"/>
  <c r="R804" i="1" s="1"/>
  <c r="P506" i="1"/>
  <c r="R506" i="1" s="1"/>
  <c r="P478" i="1"/>
  <c r="R478" i="1" s="1"/>
  <c r="P334" i="1"/>
  <c r="R334" i="1" s="1"/>
  <c r="P637" i="1"/>
  <c r="R637" i="1" s="1"/>
  <c r="P613" i="1"/>
  <c r="R613" i="1" s="1"/>
  <c r="P972" i="1"/>
  <c r="R972" i="1" s="1"/>
  <c r="P596" i="1"/>
  <c r="R596" i="1" s="1"/>
  <c r="P747" i="1"/>
  <c r="R747" i="1" s="1"/>
  <c r="P569" i="1"/>
  <c r="R569" i="1" s="1"/>
  <c r="P57" i="1"/>
  <c r="R57" i="1" s="1"/>
  <c r="P46" i="1"/>
  <c r="R46" i="1" s="1"/>
  <c r="P495" i="1"/>
  <c r="R495" i="1" s="1"/>
  <c r="P553" i="1"/>
  <c r="R553" i="1" s="1"/>
  <c r="P191" i="1"/>
  <c r="R191" i="1" s="1"/>
  <c r="P467" i="1"/>
  <c r="R467" i="1" s="1"/>
  <c r="P148" i="1"/>
  <c r="R148" i="1" s="1"/>
  <c r="P595" i="1"/>
  <c r="R595" i="1" s="1"/>
  <c r="P457" i="1"/>
  <c r="R457" i="1" s="1"/>
  <c r="P654" i="1"/>
  <c r="R654" i="1" s="1"/>
  <c r="P612" i="1"/>
  <c r="R612" i="1" s="1"/>
  <c r="P164" i="1"/>
  <c r="R164" i="1" s="1"/>
  <c r="P277" i="1"/>
  <c r="R277" i="1" s="1"/>
  <c r="P254" i="1"/>
  <c r="R254" i="1" s="1"/>
  <c r="P485" i="1"/>
  <c r="R485" i="1" s="1"/>
  <c r="P477" i="1"/>
  <c r="R477" i="1" s="1"/>
  <c r="P324" i="1"/>
  <c r="R324" i="1" s="1"/>
  <c r="P516" i="1"/>
  <c r="R516" i="1" s="1"/>
  <c r="P737" i="1"/>
  <c r="R737" i="1" s="1"/>
  <c r="P736" i="1"/>
  <c r="R736" i="1" s="1"/>
  <c r="P422" i="1"/>
  <c r="R422" i="1" s="1"/>
  <c r="P466" i="1"/>
  <c r="R466" i="1" s="1"/>
  <c r="P937" i="1"/>
  <c r="R937" i="1" s="1"/>
  <c r="P834" i="1"/>
  <c r="R834" i="1" s="1"/>
  <c r="P85" i="1"/>
  <c r="R85" i="1" s="1"/>
  <c r="P93" i="1"/>
  <c r="R93" i="1" s="1"/>
  <c r="P914" i="1"/>
  <c r="R914" i="1" s="1"/>
  <c r="P776" i="1"/>
  <c r="R776" i="1" s="1"/>
  <c r="P568" i="1"/>
  <c r="R568" i="1" s="1"/>
  <c r="P74" i="1"/>
  <c r="R74" i="1" s="1"/>
  <c r="P715" i="1"/>
  <c r="R715" i="1" s="1"/>
  <c r="P611" i="1"/>
  <c r="R611" i="1" s="1"/>
  <c r="P187" i="1"/>
  <c r="R187" i="1" s="1"/>
  <c r="P843" i="1"/>
  <c r="R843" i="1" s="1"/>
  <c r="P435" i="1"/>
  <c r="R435" i="1" s="1"/>
  <c r="P734" i="1"/>
  <c r="R734" i="1" s="1"/>
  <c r="P932" i="1"/>
  <c r="R932" i="1" s="1"/>
  <c r="P951" i="1"/>
  <c r="R951" i="1" s="1"/>
  <c r="P594" i="1"/>
  <c r="R594" i="1" s="1"/>
  <c r="P323" i="1"/>
  <c r="R323" i="1" s="1"/>
  <c r="P494" i="1"/>
  <c r="R494" i="1" s="1"/>
  <c r="P128" i="1"/>
  <c r="R128" i="1" s="1"/>
  <c r="P203" i="1"/>
  <c r="R203" i="1" s="1"/>
  <c r="P73" i="1"/>
  <c r="R73" i="1" s="1"/>
  <c r="P515" i="1"/>
  <c r="R515" i="1" s="1"/>
  <c r="P703" i="1"/>
  <c r="R703" i="1" s="1"/>
  <c r="P653" i="1"/>
  <c r="R653" i="1" s="1"/>
  <c r="P245" i="1"/>
  <c r="R245" i="1" s="1"/>
  <c r="P610" i="1"/>
  <c r="R610" i="1" s="1"/>
  <c r="P775" i="1"/>
  <c r="R775" i="1" s="1"/>
  <c r="P178" i="1"/>
  <c r="R178" i="1" s="1"/>
  <c r="P202" i="1"/>
  <c r="R202" i="1" s="1"/>
  <c r="P971" i="1"/>
  <c r="R971" i="1" s="1"/>
  <c r="P221" i="1"/>
  <c r="R221" i="1" s="1"/>
  <c r="P950" i="1"/>
  <c r="R950" i="1" s="1"/>
  <c r="P238" i="1"/>
  <c r="R238" i="1" s="1"/>
  <c r="P560" i="1"/>
  <c r="R560" i="1" s="1"/>
  <c r="P931" i="1"/>
  <c r="R931" i="1" s="1"/>
  <c r="P514" i="1"/>
  <c r="R514" i="1" s="1"/>
  <c r="P722" i="1"/>
  <c r="R722" i="1" s="1"/>
  <c r="P769" i="1"/>
  <c r="R769" i="1" s="1"/>
  <c r="P434" i="1"/>
  <c r="R434" i="1" s="1"/>
  <c r="P936" i="1"/>
  <c r="R936" i="1" s="1"/>
  <c r="P103" i="1"/>
  <c r="R103" i="1" s="1"/>
  <c r="P375" i="1"/>
  <c r="R375" i="1" s="1"/>
  <c r="P884" i="1"/>
  <c r="R884" i="1" s="1"/>
  <c r="P842" i="1"/>
  <c r="R842" i="1" s="1"/>
  <c r="P825" i="1"/>
  <c r="R825" i="1" s="1"/>
  <c r="P513" i="1"/>
  <c r="R513" i="1" s="1"/>
  <c r="P959" i="1"/>
  <c r="R959" i="1" s="1"/>
  <c r="P532" i="1"/>
  <c r="R532" i="1" s="1"/>
  <c r="P83" i="1"/>
  <c r="R83" i="1" s="1"/>
  <c r="P626" i="1"/>
  <c r="R626" i="1" s="1"/>
  <c r="P116" i="1"/>
  <c r="R116" i="1" s="1"/>
  <c r="P322" i="1"/>
  <c r="R322" i="1" s="1"/>
  <c r="P693" i="1"/>
  <c r="R693" i="1" s="1"/>
  <c r="P82" i="1"/>
  <c r="R82" i="1" s="1"/>
  <c r="P111" i="1"/>
  <c r="R111" i="1" s="1"/>
  <c r="P714" i="1"/>
  <c r="R714" i="1" s="1"/>
  <c r="P864" i="1"/>
  <c r="R864" i="1" s="1"/>
  <c r="P347" i="1"/>
  <c r="R347" i="1" s="1"/>
  <c r="P664" i="1"/>
  <c r="R664" i="1" s="1"/>
  <c r="P692" i="1"/>
  <c r="R692" i="1" s="1"/>
  <c r="P110" i="1"/>
  <c r="R110" i="1" s="1"/>
  <c r="P609" i="1"/>
  <c r="R609" i="1" s="1"/>
  <c r="P226" i="1"/>
  <c r="R226" i="1" s="1"/>
  <c r="P156" i="1"/>
  <c r="R156" i="1" s="1"/>
  <c r="P649" i="1"/>
  <c r="R649" i="1" s="1"/>
  <c r="P930" i="1"/>
  <c r="R930" i="1" s="1"/>
  <c r="P177" i="1"/>
  <c r="R177" i="1" s="1"/>
  <c r="P102" i="1"/>
  <c r="R102" i="1" s="1"/>
  <c r="P625" i="1"/>
  <c r="R625" i="1" s="1"/>
  <c r="P733" i="1"/>
  <c r="R733" i="1" s="1"/>
  <c r="P551" i="1"/>
  <c r="R551" i="1" s="1"/>
  <c r="P648" i="1"/>
  <c r="R648" i="1" s="1"/>
  <c r="P455" i="1"/>
  <c r="R455" i="1" s="1"/>
  <c r="P366" i="1"/>
  <c r="R366" i="1" s="1"/>
  <c r="P691" i="1"/>
  <c r="R691" i="1" s="1"/>
  <c r="P399" i="1"/>
  <c r="R399" i="1" s="1"/>
  <c r="P847" i="1"/>
  <c r="R847" i="1" s="1"/>
  <c r="P567" i="1"/>
  <c r="R567" i="1" s="1"/>
  <c r="P163" i="1"/>
  <c r="R163" i="1" s="1"/>
  <c r="P127" i="1"/>
  <c r="R127" i="1" s="1"/>
  <c r="P201" i="1"/>
  <c r="R201" i="1" s="1"/>
  <c r="P540" i="1"/>
  <c r="R540" i="1" s="1"/>
  <c r="P970" i="1"/>
  <c r="R970" i="1" s="1"/>
  <c r="P505" i="1"/>
  <c r="R505" i="1" s="1"/>
  <c r="P580" i="1"/>
  <c r="R580" i="1" s="1"/>
  <c r="P696" i="1"/>
  <c r="R696" i="1" s="1"/>
  <c r="P199" i="1"/>
  <c r="R199" i="1" s="1"/>
  <c r="P421" i="1"/>
  <c r="R421" i="1" s="1"/>
  <c r="P713" i="1"/>
  <c r="R713" i="1" s="1"/>
  <c r="P101" i="1"/>
  <c r="R101" i="1" s="1"/>
  <c r="P374" i="1"/>
  <c r="R374" i="1" s="1"/>
  <c r="P100" i="1"/>
  <c r="R100" i="1" s="1"/>
  <c r="P929" i="1"/>
  <c r="R929" i="1" s="1"/>
  <c r="P433" i="1"/>
  <c r="R433" i="1" s="1"/>
  <c r="P641" i="1"/>
  <c r="R641" i="1" s="1"/>
  <c r="P676" i="1"/>
  <c r="R676" i="1" s="1"/>
  <c r="P854" i="1"/>
  <c r="R854" i="1" s="1"/>
  <c r="P397" i="1"/>
  <c r="R397" i="1" s="1"/>
  <c r="P721" i="1"/>
  <c r="R721" i="1" s="1"/>
  <c r="P432" i="1"/>
  <c r="R432" i="1" s="1"/>
  <c r="P968" i="1"/>
  <c r="R968" i="1" s="1"/>
  <c r="P712" i="1"/>
  <c r="R712" i="1" s="1"/>
  <c r="P824" i="1"/>
  <c r="R824" i="1" s="1"/>
  <c r="P817" i="1"/>
  <c r="R817" i="1" s="1"/>
  <c r="P147" i="1"/>
  <c r="R147" i="1" s="1"/>
  <c r="P768" i="1"/>
  <c r="R768" i="1" s="1"/>
  <c r="P365" i="1"/>
  <c r="R365" i="1" s="1"/>
  <c r="P333" i="1"/>
  <c r="R333" i="1" s="1"/>
  <c r="P176" i="1"/>
  <c r="R176" i="1" s="1"/>
  <c r="P943" i="1"/>
  <c r="R943" i="1" s="1"/>
  <c r="P841" i="1"/>
  <c r="R841" i="1" s="1"/>
  <c r="P373" i="1"/>
  <c r="R373" i="1" s="1"/>
  <c r="P958" i="1"/>
  <c r="R958" i="1" s="1"/>
  <c r="P550" i="1"/>
  <c r="R550" i="1" s="1"/>
  <c r="P350" i="1"/>
  <c r="R350" i="1" s="1"/>
  <c r="P504" i="1"/>
  <c r="R504" i="1" s="1"/>
  <c r="P476" i="1"/>
  <c r="R476" i="1" s="1"/>
  <c r="P559" i="1"/>
  <c r="R559" i="1" s="1"/>
  <c r="P579" i="1"/>
  <c r="R579" i="1" s="1"/>
  <c r="P803" i="1"/>
  <c r="R803" i="1" s="1"/>
  <c r="P220" i="1"/>
  <c r="R220" i="1" s="1"/>
  <c r="P43" i="1"/>
  <c r="R43" i="1" s="1"/>
  <c r="P531" i="1"/>
  <c r="R531" i="1" s="1"/>
  <c r="P711" i="1"/>
  <c r="R711" i="1" s="1"/>
  <c r="P949" i="1"/>
  <c r="R949" i="1" s="1"/>
  <c r="P682" i="1"/>
  <c r="R682" i="1" s="1"/>
  <c r="P794" i="1"/>
  <c r="R794" i="1" s="1"/>
  <c r="P774" i="1"/>
  <c r="R774" i="1" s="1"/>
  <c r="P802" i="1"/>
  <c r="R802" i="1" s="1"/>
  <c r="P126" i="1"/>
  <c r="R126" i="1" s="1"/>
  <c r="P840" i="1"/>
  <c r="R840" i="1" s="1"/>
  <c r="P321" i="1"/>
  <c r="R321" i="1" s="1"/>
  <c r="P198" i="1"/>
  <c r="R198" i="1" s="1"/>
  <c r="P758" i="1"/>
  <c r="R758" i="1" s="1"/>
  <c r="P484" i="1"/>
  <c r="R484" i="1" s="1"/>
  <c r="P624" i="1"/>
  <c r="R624" i="1" s="1"/>
  <c r="P640" i="1"/>
  <c r="R640" i="1" s="1"/>
  <c r="P558" i="1"/>
  <c r="R558" i="1" s="1"/>
  <c r="P243" i="1"/>
  <c r="R243" i="1" s="1"/>
  <c r="P431" i="1"/>
  <c r="R431" i="1" s="1"/>
  <c r="P767" i="1"/>
  <c r="R767" i="1" s="1"/>
  <c r="P647" i="1"/>
  <c r="R647" i="1" s="1"/>
  <c r="P702" i="1"/>
  <c r="R702" i="1" s="1"/>
  <c r="P175" i="1"/>
  <c r="R175" i="1" s="1"/>
  <c r="P441" i="1"/>
  <c r="R441" i="1" s="1"/>
  <c r="P420" i="1"/>
  <c r="R420" i="1" s="1"/>
  <c r="P252" i="1"/>
  <c r="R252" i="1" s="1"/>
  <c r="P384" i="1"/>
  <c r="R384" i="1" s="1"/>
  <c r="P720" i="1"/>
  <c r="R720" i="1" s="1"/>
  <c r="P81" i="1"/>
  <c r="R81" i="1" s="1"/>
  <c r="P56" i="1"/>
  <c r="R56" i="1" s="1"/>
  <c r="P823" i="1"/>
  <c r="R823" i="1" s="1"/>
  <c r="P186" i="1"/>
  <c r="R186" i="1" s="1"/>
  <c r="P623" i="1"/>
  <c r="R623" i="1" s="1"/>
  <c r="P935" i="1"/>
  <c r="R935" i="1" s="1"/>
  <c r="P786" i="1"/>
  <c r="R786" i="1" s="1"/>
  <c r="P928" i="1"/>
  <c r="R928" i="1" s="1"/>
  <c r="P146" i="1"/>
  <c r="R146" i="1" s="1"/>
  <c r="P114" i="1"/>
  <c r="R114" i="1" s="1"/>
  <c r="P299" i="1"/>
  <c r="R299" i="1" s="1"/>
  <c r="P372" i="1"/>
  <c r="R372" i="1" s="1"/>
  <c r="P663" i="1"/>
  <c r="R663" i="1" s="1"/>
  <c r="P832" i="1"/>
  <c r="R832" i="1" s="1"/>
  <c r="P913" i="1"/>
  <c r="R913" i="1" s="1"/>
  <c r="P577" i="1"/>
  <c r="R577" i="1" s="1"/>
  <c r="P174" i="1"/>
  <c r="R174" i="1" s="1"/>
  <c r="P332" i="1"/>
  <c r="R332" i="1" s="1"/>
  <c r="P339" i="1"/>
  <c r="R339" i="1" s="1"/>
  <c r="P358" i="1"/>
  <c r="R358" i="1" s="1"/>
  <c r="P251" i="1"/>
  <c r="R251" i="1" s="1"/>
  <c r="P608" i="1"/>
  <c r="R608" i="1" s="1"/>
  <c r="P911" i="1"/>
  <c r="R911" i="1" s="1"/>
  <c r="P145" i="1"/>
  <c r="R145" i="1" s="1"/>
  <c r="P412" i="1"/>
  <c r="R412" i="1" s="1"/>
  <c r="P888" i="1"/>
  <c r="R888" i="1" s="1"/>
  <c r="P831" i="1"/>
  <c r="R831" i="1" s="1"/>
  <c r="P453" i="1"/>
  <c r="R453" i="1" s="1"/>
  <c r="P318" i="1"/>
  <c r="R318" i="1" s="1"/>
  <c r="P922" i="1"/>
  <c r="R922" i="1" s="1"/>
  <c r="P652" i="1"/>
  <c r="R652" i="1" s="1"/>
  <c r="P995" i="1"/>
  <c r="R995" i="1" s="1"/>
  <c r="P681" i="1"/>
  <c r="R681" i="1" s="1"/>
  <c r="P338" i="1"/>
  <c r="R338" i="1" s="1"/>
  <c r="P371" i="1"/>
  <c r="R371" i="1" s="1"/>
  <c r="P957" i="1"/>
  <c r="R957" i="1" s="1"/>
  <c r="P633" i="1"/>
  <c r="R633" i="1" s="1"/>
  <c r="P883" i="1"/>
  <c r="R883" i="1" s="1"/>
  <c r="P925" i="1"/>
  <c r="R925" i="1" s="1"/>
  <c r="P908" i="1"/>
  <c r="R908" i="1" s="1"/>
  <c r="P941" i="1"/>
  <c r="R941" i="1" s="1"/>
  <c r="P801" i="1"/>
  <c r="R801" i="1" s="1"/>
  <c r="P440" i="1"/>
  <c r="R440" i="1" s="1"/>
  <c r="P907" i="1"/>
  <c r="R907" i="1" s="1"/>
  <c r="P576" i="1"/>
  <c r="R576" i="1" s="1"/>
  <c r="P603" i="1"/>
  <c r="R603" i="1" s="1"/>
  <c r="P675" i="1"/>
  <c r="R675" i="1" s="1"/>
  <c r="P719" i="1"/>
  <c r="R719" i="1" s="1"/>
  <c r="P889" i="1"/>
  <c r="R889" i="1" s="1"/>
  <c r="P757" i="1"/>
  <c r="R757" i="1" s="1"/>
  <c r="P408" i="1"/>
  <c r="R408" i="1" s="1"/>
  <c r="P839" i="1"/>
  <c r="R839" i="1" s="1"/>
  <c r="P917" i="1"/>
  <c r="R917" i="1" s="1"/>
  <c r="P185" i="1"/>
  <c r="R185" i="1" s="1"/>
  <c r="P658" i="1"/>
  <c r="R658" i="1" s="1"/>
  <c r="P784" i="1"/>
  <c r="R784" i="1" s="1"/>
  <c r="P539" i="1"/>
  <c r="R539" i="1" s="1"/>
  <c r="P330" i="1"/>
  <c r="R330" i="1" s="1"/>
  <c r="P992" i="1"/>
  <c r="R992" i="1" s="1"/>
  <c r="P590" i="1"/>
  <c r="R590" i="1" s="1"/>
  <c r="P838" i="1"/>
  <c r="R838" i="1" s="1"/>
  <c r="P942" i="1"/>
  <c r="R942" i="1" s="1"/>
  <c r="P355" i="1"/>
  <c r="R355" i="1" s="1"/>
  <c r="P947" i="1"/>
  <c r="R947" i="1" s="1"/>
  <c r="P426" i="1"/>
  <c r="R426" i="1" s="1"/>
  <c r="P756" i="1"/>
  <c r="R756" i="1" s="1"/>
  <c r="P341" i="1"/>
  <c r="R341" i="1" s="1"/>
  <c r="P452" i="1"/>
  <c r="R452" i="1" s="1"/>
  <c r="P887" i="1"/>
  <c r="R887" i="1" s="1"/>
  <c r="P370" i="1"/>
  <c r="R370" i="1" s="1"/>
  <c r="P381" i="1"/>
  <c r="R381" i="1" s="1"/>
  <c r="P991" i="1"/>
  <c r="R991" i="1" s="1"/>
  <c r="P791" i="1"/>
  <c r="R791" i="1" s="1"/>
  <c r="P605" i="1"/>
  <c r="R605" i="1" s="1"/>
  <c r="P988" i="1"/>
  <c r="R988" i="1" s="1"/>
  <c r="P144" i="1"/>
  <c r="R144" i="1" s="1"/>
  <c r="P242" i="1"/>
  <c r="R242" i="1" s="1"/>
  <c r="P340" i="1"/>
  <c r="R340" i="1" s="1"/>
  <c r="P329" i="1"/>
  <c r="R329" i="1" s="1"/>
  <c r="P755" i="1"/>
  <c r="R755" i="1" s="1"/>
  <c r="P727" i="1"/>
  <c r="R727" i="1" s="1"/>
  <c r="P753" i="1"/>
  <c r="R753" i="1" s="1"/>
  <c r="P857" i="1"/>
  <c r="R857" i="1" s="1"/>
  <c r="P837" i="1"/>
  <c r="R837" i="1" s="1"/>
  <c r="P604" i="1"/>
  <c r="R604" i="1" s="1"/>
  <c r="P783" i="1"/>
  <c r="R783" i="1" s="1"/>
  <c r="P924" i="1"/>
  <c r="R924" i="1" s="1"/>
  <c r="P822" i="1"/>
  <c r="R822" i="1" s="1"/>
  <c r="P886" i="1"/>
  <c r="R886" i="1" s="1"/>
  <c r="P361" i="1"/>
  <c r="R361" i="1" s="1"/>
  <c r="P403" i="1"/>
  <c r="R403" i="1" s="1"/>
  <c r="P607" i="1"/>
  <c r="R607" i="1" s="1"/>
  <c r="P241" i="1"/>
  <c r="R241" i="1" s="1"/>
  <c r="P460" i="1"/>
  <c r="R460" i="1" s="1"/>
  <c r="P863" i="1"/>
  <c r="R863" i="1" s="1"/>
  <c r="P232" i="1"/>
  <c r="R232" i="1" s="1"/>
  <c r="P955" i="1"/>
  <c r="R955" i="1" s="1"/>
  <c r="P599" i="1"/>
  <c r="R599" i="1" s="1"/>
  <c r="P900" i="1"/>
  <c r="R900" i="1" s="1"/>
  <c r="P766" i="1"/>
  <c r="R766" i="1" s="1"/>
  <c r="P821" i="1"/>
  <c r="R821" i="1" s="1"/>
  <c r="P862" i="1"/>
  <c r="R862" i="1" s="1"/>
  <c r="P192" i="1"/>
  <c r="R192" i="1" s="1"/>
  <c r="P578" i="1"/>
  <c r="R578" i="1" s="1"/>
  <c r="P219" i="1"/>
  <c r="R219" i="1" s="1"/>
  <c r="P270" i="1"/>
  <c r="R270" i="1" s="1"/>
  <c r="P729" i="1"/>
  <c r="R729" i="1" s="1"/>
  <c r="P269" i="1"/>
  <c r="R269" i="1" s="1"/>
  <c r="P388" i="1"/>
  <c r="R388" i="1" s="1"/>
  <c r="P765" i="1"/>
  <c r="R765" i="1" s="1"/>
  <c r="P561" i="1"/>
  <c r="R561" i="1" s="1"/>
  <c r="P921" i="1"/>
  <c r="R921" i="1" s="1"/>
  <c r="P360" i="1"/>
  <c r="R360" i="1" s="1"/>
  <c r="P345" i="1"/>
  <c r="R345" i="1" s="1"/>
  <c r="P953" i="1"/>
  <c r="R953" i="1" s="1"/>
  <c r="P297" i="1"/>
  <c r="R297" i="1" s="1"/>
  <c r="P984" i="1"/>
  <c r="R984" i="1" s="1"/>
  <c r="P387" i="1"/>
  <c r="R387" i="1" s="1"/>
  <c r="P287" i="1"/>
  <c r="R287" i="1" s="1"/>
  <c r="P952" i="1"/>
  <c r="R952" i="1" s="1"/>
  <c r="P923" i="1"/>
  <c r="R923" i="1" s="1"/>
  <c r="P785" i="1"/>
  <c r="R785" i="1" s="1"/>
  <c r="P530" i="1"/>
  <c r="R530" i="1" s="1"/>
  <c r="P983" i="1"/>
  <c r="R983" i="1" s="1"/>
  <c r="P331" i="1"/>
  <c r="R331" i="1" s="1"/>
  <c r="P382" i="1"/>
  <c r="R382" i="1" s="1"/>
  <c r="P987" i="1"/>
  <c r="R987" i="1" s="1"/>
  <c r="P728" i="1"/>
  <c r="R728" i="1" s="1"/>
  <c r="P934" i="1"/>
  <c r="R934" i="1" s="1"/>
  <c r="P920" i="1"/>
  <c r="R920" i="1" s="1"/>
  <c r="P351" i="1"/>
  <c r="R351" i="1" s="1"/>
  <c r="P882" i="1"/>
  <c r="R882" i="1" s="1"/>
  <c r="P587" i="1"/>
  <c r="R587" i="1" s="1"/>
  <c r="P981" i="1"/>
  <c r="R981" i="1" s="1"/>
  <c r="P231" i="1"/>
  <c r="R231" i="1" s="1"/>
  <c r="P317" i="1"/>
  <c r="R317" i="1" s="1"/>
  <c r="P512" i="1"/>
  <c r="R512" i="1" s="1"/>
  <c r="P197" i="1"/>
  <c r="R197" i="1" s="1"/>
  <c r="P244" i="1"/>
  <c r="R244" i="1" s="1"/>
  <c r="P899" i="1"/>
  <c r="R899" i="1" s="1"/>
  <c r="P483" i="1"/>
  <c r="R483" i="1" s="1"/>
  <c r="P364" i="1"/>
  <c r="R364" i="1" s="1"/>
  <c r="P752" i="1"/>
  <c r="R752" i="1" s="1"/>
  <c r="P284" i="1"/>
  <c r="R284" i="1" s="1"/>
  <c r="P708" i="1"/>
  <c r="R708" i="1" s="1"/>
  <c r="P909" i="1"/>
  <c r="R909" i="1" s="1"/>
  <c r="P359" i="1"/>
  <c r="R359" i="1" s="1"/>
  <c r="P771" i="1"/>
  <c r="R771" i="1" s="1"/>
  <c r="P593" i="1"/>
  <c r="R593" i="1" s="1"/>
  <c r="P547" i="1"/>
  <c r="R547" i="1" s="1"/>
  <c r="P184" i="1"/>
  <c r="R184" i="1" s="1"/>
  <c r="P396" i="1"/>
  <c r="R396" i="1" s="1"/>
  <c r="P328" i="1"/>
  <c r="R328" i="1" s="1"/>
  <c r="P398" i="1"/>
  <c r="R398" i="1" s="1"/>
  <c r="P557" i="1"/>
  <c r="R557" i="1" s="1"/>
  <c r="P482" i="1"/>
  <c r="R482" i="1" s="1"/>
  <c r="P240" i="1"/>
  <c r="R240" i="1" s="1"/>
  <c r="P173" i="1"/>
  <c r="R173" i="1" s="1"/>
  <c r="P511" i="1"/>
  <c r="R511" i="1" s="1"/>
  <c r="P754" i="1"/>
  <c r="R754" i="1" s="1"/>
  <c r="P877" i="1"/>
  <c r="R877" i="1" s="1"/>
  <c r="P764" i="1"/>
  <c r="R764" i="1" s="1"/>
  <c r="P622" i="1"/>
  <c r="R622" i="1" s="1"/>
  <c r="P639" i="1"/>
  <c r="R639" i="1" s="1"/>
  <c r="P861" i="1"/>
  <c r="R861" i="1" s="1"/>
  <c r="P327" i="1"/>
  <c r="R327" i="1" s="1"/>
  <c r="P701" i="1"/>
  <c r="R701" i="1" s="1"/>
  <c r="P298" i="1"/>
  <c r="R298" i="1" s="1"/>
  <c r="P846" i="1"/>
  <c r="R846" i="1" s="1"/>
  <c r="E6" i="2"/>
</calcChain>
</file>

<file path=xl/sharedStrings.xml><?xml version="1.0" encoding="utf-8"?>
<sst xmlns="http://schemas.openxmlformats.org/spreadsheetml/2006/main" count="5971" uniqueCount="1099">
  <si>
    <t>Employee_ID</t>
  </si>
  <si>
    <t>Department</t>
  </si>
  <si>
    <t>Department(Trim)</t>
  </si>
  <si>
    <t>Company Origin</t>
  </si>
  <si>
    <t>Company Origin (Trim)</t>
  </si>
  <si>
    <t>Tenure with the Company</t>
  </si>
  <si>
    <t>Salary</t>
  </si>
  <si>
    <t>HireDate</t>
  </si>
  <si>
    <t>PerformanceScore</t>
  </si>
  <si>
    <t>Work Ratings</t>
  </si>
  <si>
    <t>Output_Unit</t>
  </si>
  <si>
    <t>Output_Cost_Ratio</t>
  </si>
  <si>
    <t>Is_Senior_GT15</t>
  </si>
  <si>
    <t>Is_Mid_GT5</t>
  </si>
  <si>
    <t>Selection_Status</t>
  </si>
  <si>
    <t>Norm_Ratio</t>
  </si>
  <si>
    <t>Norm_PerfScore</t>
  </si>
  <si>
    <t>Unified_Performance_Score</t>
  </si>
  <si>
    <t>ID000115</t>
  </si>
  <si>
    <t>Research &amp; Department</t>
  </si>
  <si>
    <t>Dataverse</t>
  </si>
  <si>
    <t>C</t>
  </si>
  <si>
    <t>Retain</t>
  </si>
  <si>
    <t>ID000357</t>
  </si>
  <si>
    <t>ID000873</t>
  </si>
  <si>
    <t xml:space="preserve">Sales &amp; Marketing </t>
  </si>
  <si>
    <t>ID000191</t>
  </si>
  <si>
    <t>Technova</t>
  </si>
  <si>
    <t>ID000522</t>
  </si>
  <si>
    <t>ID000796</t>
  </si>
  <si>
    <t>ID000044</t>
  </si>
  <si>
    <t>ID000526</t>
  </si>
  <si>
    <t>ID000240</t>
  </si>
  <si>
    <t>ID000779</t>
  </si>
  <si>
    <t>ID000038</t>
  </si>
  <si>
    <t>ID000047</t>
  </si>
  <si>
    <t>ID000787</t>
  </si>
  <si>
    <t>ID000883</t>
  </si>
  <si>
    <t>ID000885</t>
  </si>
  <si>
    <t>ID000932</t>
  </si>
  <si>
    <t>ID000997</t>
  </si>
  <si>
    <t>ID000798</t>
  </si>
  <si>
    <t>ID000244</t>
  </si>
  <si>
    <t>ID000915</t>
  </si>
  <si>
    <t>ID000195</t>
  </si>
  <si>
    <t>ID000447</t>
  </si>
  <si>
    <t>ID000912</t>
  </si>
  <si>
    <t>ID000037</t>
  </si>
  <si>
    <t>ID000107</t>
  </si>
  <si>
    <t>ID000110</t>
  </si>
  <si>
    <t>ID000524</t>
  </si>
  <si>
    <t>ID000480</t>
  </si>
  <si>
    <t>ID000875</t>
  </si>
  <si>
    <t>ID000572</t>
  </si>
  <si>
    <t>ID000574</t>
  </si>
  <si>
    <t>ID000348</t>
  </si>
  <si>
    <t xml:space="preserve">IT &amp; Systems </t>
  </si>
  <si>
    <t>B</t>
  </si>
  <si>
    <t>ID000437</t>
  </si>
  <si>
    <t>ID000598</t>
  </si>
  <si>
    <t>Manufacturing and operations</t>
  </si>
  <si>
    <t>ID000643</t>
  </si>
  <si>
    <t>ID000655</t>
  </si>
  <si>
    <t>ID000727</t>
  </si>
  <si>
    <t>ID000822</t>
  </si>
  <si>
    <t>ID000825</t>
  </si>
  <si>
    <t>ID000869</t>
  </si>
  <si>
    <t>Quality Assurance</t>
  </si>
  <si>
    <t>ID000984</t>
  </si>
  <si>
    <t>ID000069</t>
  </si>
  <si>
    <t>Customer Experience</t>
  </si>
  <si>
    <t>ID000178</t>
  </si>
  <si>
    <t>ID000245</t>
  </si>
  <si>
    <t>ID000292</t>
  </si>
  <si>
    <t>Human Resources</t>
  </si>
  <si>
    <t>ID000316</t>
  </si>
  <si>
    <t>ID000350</t>
  </si>
  <si>
    <t>ID000513</t>
  </si>
  <si>
    <t>ID000649</t>
  </si>
  <si>
    <t>ID000784</t>
  </si>
  <si>
    <t>ID000851</t>
  </si>
  <si>
    <t>ID000978</t>
  </si>
  <si>
    <t>ID000042</t>
  </si>
  <si>
    <t>ID000190</t>
  </si>
  <si>
    <t>ID000016</t>
  </si>
  <si>
    <t>ID000293</t>
  </si>
  <si>
    <t>ID000772</t>
  </si>
  <si>
    <t>ID000309</t>
  </si>
  <si>
    <t>ID000344</t>
  </si>
  <si>
    <t>ID000404</t>
  </si>
  <si>
    <t>ID000418</t>
  </si>
  <si>
    <t>ID000468</t>
  </si>
  <si>
    <t>ID000514</t>
  </si>
  <si>
    <t>ID000667</t>
  </si>
  <si>
    <t>ID000829</t>
  </si>
  <si>
    <t>ID000048</t>
  </si>
  <si>
    <t>ID000614</t>
  </si>
  <si>
    <t>ID000678</t>
  </si>
  <si>
    <t>ID000797</t>
  </si>
  <si>
    <t>ID000960</t>
  </si>
  <si>
    <t>ID000998</t>
  </si>
  <si>
    <t>ID000224</t>
  </si>
  <si>
    <t>Finance</t>
  </si>
  <si>
    <t>ID000264</t>
  </si>
  <si>
    <t>ID000379</t>
  </si>
  <si>
    <t>ID000828</t>
  </si>
  <si>
    <t>ID000045</t>
  </si>
  <si>
    <t>ID000790</t>
  </si>
  <si>
    <t>ID000799</t>
  </si>
  <si>
    <t>ID000882</t>
  </si>
  <si>
    <t>ID000017</t>
  </si>
  <si>
    <t>ID000165</t>
  </si>
  <si>
    <t>ID000170</t>
  </si>
  <si>
    <t>ID000192</t>
  </si>
  <si>
    <t>ID000269</t>
  </si>
  <si>
    <t>ID000381</t>
  </si>
  <si>
    <t>ID000566</t>
  </si>
  <si>
    <t>ID000628</t>
  </si>
  <si>
    <t>ID000679</t>
  </si>
  <si>
    <t>ID000237</t>
  </si>
  <si>
    <t>ID000241</t>
  </si>
  <si>
    <t>ID000629</t>
  </si>
  <si>
    <t>ID000268</t>
  </si>
  <si>
    <t>ID000310</t>
  </si>
  <si>
    <t>ID000431</t>
  </si>
  <si>
    <t>ID000439</t>
  </si>
  <si>
    <t>ID000457</t>
  </si>
  <si>
    <t>ID000490</t>
  </si>
  <si>
    <t>ID000549</t>
  </si>
  <si>
    <t>ID000099</t>
  </si>
  <si>
    <t>ID000101</t>
  </si>
  <si>
    <t>ID000151</t>
  </si>
  <si>
    <t>ID000204</t>
  </si>
  <si>
    <t>ID000406</t>
  </si>
  <si>
    <t>ID000433</t>
  </si>
  <si>
    <t>ID000511</t>
  </si>
  <si>
    <t>ID000606</t>
  </si>
  <si>
    <t>ID000654</t>
  </si>
  <si>
    <t>ID000921</t>
  </si>
  <si>
    <t>ID000158</t>
  </si>
  <si>
    <t>ID000164</t>
  </si>
  <si>
    <t>ID000428</t>
  </si>
  <si>
    <t>ID000971</t>
  </si>
  <si>
    <t>ID000008</t>
  </si>
  <si>
    <t>ID000113</t>
  </si>
  <si>
    <t>ID000168</t>
  </si>
  <si>
    <t>ID000408</t>
  </si>
  <si>
    <t>ID000600</t>
  </si>
  <si>
    <t>ID000849</t>
  </si>
  <si>
    <t>ID000928</t>
  </si>
  <si>
    <t>ID000405</t>
  </si>
  <si>
    <t>ID000435</t>
  </si>
  <si>
    <t>ID000498</t>
  </si>
  <si>
    <t>ID000609</t>
  </si>
  <si>
    <t>ID000847</t>
  </si>
  <si>
    <t>ID000061</t>
  </si>
  <si>
    <t>ID000139</t>
  </si>
  <si>
    <t>ID000226</t>
  </si>
  <si>
    <t>ID000568</t>
  </si>
  <si>
    <t>ID000603</t>
  </si>
  <si>
    <t>ID000742</t>
  </si>
  <si>
    <t>ID000820</t>
  </si>
  <si>
    <t>ID000893</t>
  </si>
  <si>
    <t>ID000945</t>
  </si>
  <si>
    <t>ID000948</t>
  </si>
  <si>
    <t>ID000049</t>
  </si>
  <si>
    <t>ID000523</t>
  </si>
  <si>
    <t>ID000965</t>
  </si>
  <si>
    <t>ID000641</t>
  </si>
  <si>
    <t>ID000842</t>
  </si>
  <si>
    <t>ID000108</t>
  </si>
  <si>
    <t>ID000361</t>
  </si>
  <si>
    <t>ID000449</t>
  </si>
  <si>
    <t>ID000577</t>
  </si>
  <si>
    <t>A</t>
  </si>
  <si>
    <t>ID000917</t>
  </si>
  <si>
    <t>ID000009</t>
  </si>
  <si>
    <t>ID000086</t>
  </si>
  <si>
    <t>ID000287</t>
  </si>
  <si>
    <t>ID000334</t>
  </si>
  <si>
    <t>ID000586</t>
  </si>
  <si>
    <t>ID000588</t>
  </si>
  <si>
    <t>ID000741</t>
  </si>
  <si>
    <t>ID000744</t>
  </si>
  <si>
    <t>ID000848</t>
  </si>
  <si>
    <t>ID000989</t>
  </si>
  <si>
    <t>ID000155</t>
  </si>
  <si>
    <t>ID000335</t>
  </si>
  <si>
    <t>ID000354</t>
  </si>
  <si>
    <t>ID000377</t>
  </si>
  <si>
    <t>ID000380</t>
  </si>
  <si>
    <t>ID000476</t>
  </si>
  <si>
    <t>ID000599</t>
  </si>
  <si>
    <t>ID000140</t>
  </si>
  <si>
    <t>ID000282</t>
  </si>
  <si>
    <t>ID000383</t>
  </si>
  <si>
    <t>ID000443</t>
  </si>
  <si>
    <t>ID000681</t>
  </si>
  <si>
    <t>ID000767</t>
  </si>
  <si>
    <t>ID000793</t>
  </si>
  <si>
    <t>ID000862</t>
  </si>
  <si>
    <t>ID000953</t>
  </si>
  <si>
    <t>ID000994</t>
  </si>
  <si>
    <t>ID000057</t>
  </si>
  <si>
    <t>Administrative Services</t>
  </si>
  <si>
    <t>ID000940</t>
  </si>
  <si>
    <t>ID000023</t>
  </si>
  <si>
    <t>ID000082</t>
  </si>
  <si>
    <t>ID000152</t>
  </si>
  <si>
    <t>ID000217</t>
  </si>
  <si>
    <t>ID000463</t>
  </si>
  <si>
    <t>ID000591</t>
  </si>
  <si>
    <t>ID000719</t>
  </si>
  <si>
    <t>ID000823</t>
  </si>
  <si>
    <t>ID000314</t>
  </si>
  <si>
    <t>ID000124</t>
  </si>
  <si>
    <t>ID000696</t>
  </si>
  <si>
    <t>ID000014</t>
  </si>
  <si>
    <t>ID000261</t>
  </si>
  <si>
    <t>ID000515</t>
  </si>
  <si>
    <t>ID000546</t>
  </si>
  <si>
    <t>ID000184</t>
  </si>
  <si>
    <t>ID000289</t>
  </si>
  <si>
    <t>ID000397</t>
  </si>
  <si>
    <t>Business Strategy</t>
  </si>
  <si>
    <t>ID000503</t>
  </si>
  <si>
    <t>ID000519</t>
  </si>
  <si>
    <t>ID000843</t>
  </si>
  <si>
    <t>ID000880</t>
  </si>
  <si>
    <t>ID000200</t>
  </si>
  <si>
    <t>ID000034</t>
  </si>
  <si>
    <t>ID000104</t>
  </si>
  <si>
    <t>ID000116</t>
  </si>
  <si>
    <t>ID000138</t>
  </si>
  <si>
    <t>ID000216</t>
  </si>
  <si>
    <t>ID000225</t>
  </si>
  <si>
    <t>ID000401</t>
  </si>
  <si>
    <t>ID000441</t>
  </si>
  <si>
    <t>ID000461</t>
  </si>
  <si>
    <t>ID000499</t>
  </si>
  <si>
    <t>ID000502</t>
  </si>
  <si>
    <t>ID000530</t>
  </si>
  <si>
    <t>ID000626</t>
  </si>
  <si>
    <t>ID000646</t>
  </si>
  <si>
    <t>ID000747</t>
  </si>
  <si>
    <t>ID000788</t>
  </si>
  <si>
    <t>ID000791</t>
  </si>
  <si>
    <t>ID000836</t>
  </si>
  <si>
    <t>ID000845</t>
  </si>
  <si>
    <t>ID000850</t>
  </si>
  <si>
    <t>ID000854</t>
  </si>
  <si>
    <t>ID000371</t>
  </si>
  <si>
    <t>ID000070</t>
  </si>
  <si>
    <t>ID000214</t>
  </si>
  <si>
    <t>ID000373</t>
  </si>
  <si>
    <t>ID000687</t>
  </si>
  <si>
    <t>ID000760</t>
  </si>
  <si>
    <t>ID000853</t>
  </si>
  <si>
    <t>ID000156</t>
  </si>
  <si>
    <t>ID000333</t>
  </si>
  <si>
    <t>ID000564</t>
  </si>
  <si>
    <t>ID000743</t>
  </si>
  <si>
    <t>ID000833</t>
  </si>
  <si>
    <t>ID000203</t>
  </si>
  <si>
    <t>ID000451</t>
  </si>
  <si>
    <t>ID000593</t>
  </si>
  <si>
    <t>ID000648</t>
  </si>
  <si>
    <t>ID000673</t>
  </si>
  <si>
    <t>ID000815</t>
  </si>
  <si>
    <t>ID000840</t>
  </si>
  <si>
    <t>ID000212</t>
  </si>
  <si>
    <t>ID000739</t>
  </si>
  <si>
    <t>ID000058</t>
  </si>
  <si>
    <t>ID000454</t>
  </si>
  <si>
    <t>ID000576</t>
  </si>
  <si>
    <t>ID000028</t>
  </si>
  <si>
    <t>ID000199</t>
  </si>
  <si>
    <t>ID000220</t>
  </si>
  <si>
    <t>ID000358</t>
  </si>
  <si>
    <t>ID000644</t>
  </si>
  <si>
    <t>ID000770</t>
  </si>
  <si>
    <t>ID000876</t>
  </si>
  <si>
    <t>ID000891</t>
  </si>
  <si>
    <t>ID000936</t>
  </si>
  <si>
    <t>ID000020</t>
  </si>
  <si>
    <t>ID000117</t>
  </si>
  <si>
    <t>ID000280</t>
  </si>
  <si>
    <t>ID000306</t>
  </si>
  <si>
    <t>ID000402</t>
  </si>
  <si>
    <t>ID000529</t>
  </si>
  <si>
    <t>ID000659</t>
  </si>
  <si>
    <t>ID000669</t>
  </si>
  <si>
    <t>ID000776</t>
  </si>
  <si>
    <t>ID000780</t>
  </si>
  <si>
    <t>ID000830</t>
  </si>
  <si>
    <t>ID000899</t>
  </si>
  <si>
    <t>ID000901</t>
  </si>
  <si>
    <t>ID000432</t>
  </si>
  <si>
    <t>ID000489</t>
  </si>
  <si>
    <t>ID000552</t>
  </si>
  <si>
    <t>ID000652</t>
  </si>
  <si>
    <t>ID000368</t>
  </si>
  <si>
    <t>ID000370</t>
  </si>
  <si>
    <t>ID000539</t>
  </si>
  <si>
    <t>ID000548</t>
  </si>
  <si>
    <t>ID000656</t>
  </si>
  <si>
    <t>ID000724</t>
  </si>
  <si>
    <t>ID000737</t>
  </si>
  <si>
    <t>ID000946</t>
  </si>
  <si>
    <t>ID000281</t>
  </si>
  <si>
    <t>ID000474</t>
  </si>
  <si>
    <t>ID000488</t>
  </si>
  <si>
    <t>ID000551</t>
  </si>
  <si>
    <t>ID000922</t>
  </si>
  <si>
    <t>ID000923</t>
  </si>
  <si>
    <t>ID000120</t>
  </si>
  <si>
    <t>ID000131</t>
  </si>
  <si>
    <t>ID000183</t>
  </si>
  <si>
    <t>ID000238</t>
  </si>
  <si>
    <t>ID000321</t>
  </si>
  <si>
    <t>ID000346</t>
  </si>
  <si>
    <t>ID000385</t>
  </si>
  <si>
    <t>ID000387</t>
  </si>
  <si>
    <t>ID000487</t>
  </si>
  <si>
    <t>ID000597</t>
  </si>
  <si>
    <t>ID000608</t>
  </si>
  <si>
    <t>ID000725</t>
  </si>
  <si>
    <t>ID000735</t>
  </si>
  <si>
    <t>ID000751</t>
  </si>
  <si>
    <t>ID000324</t>
  </si>
  <si>
    <t>ID000003</t>
  </si>
  <si>
    <t>ID000007</t>
  </si>
  <si>
    <t>ID000330</t>
  </si>
  <si>
    <t>ID000363</t>
  </si>
  <si>
    <t>ID000459</t>
  </si>
  <si>
    <t>ID000477</t>
  </si>
  <si>
    <t>ID000491</t>
  </si>
  <si>
    <t>ID000507</t>
  </si>
  <si>
    <t>ID000562</t>
  </si>
  <si>
    <t>ID000592</t>
  </si>
  <si>
    <t>ID000595</t>
  </si>
  <si>
    <t>ID000686</t>
  </si>
  <si>
    <t>ID000924</t>
  </si>
  <si>
    <t>ID000934</t>
  </si>
  <si>
    <t>ID000947</t>
  </si>
  <si>
    <t>ID000518</t>
  </si>
  <si>
    <t>ID000630</t>
  </si>
  <si>
    <t>ID000795</t>
  </si>
  <si>
    <t>ID000933</t>
  </si>
  <si>
    <t>ID000202</t>
  </si>
  <si>
    <t>ID000812</t>
  </si>
  <si>
    <t>ID000930</t>
  </si>
  <si>
    <t>ID000964</t>
  </si>
  <si>
    <t>ID000035</t>
  </si>
  <si>
    <t>ID000167</t>
  </si>
  <si>
    <t>ID000228</t>
  </si>
  <si>
    <t>ID000277</t>
  </si>
  <si>
    <t>ID000409</t>
  </si>
  <si>
    <t>ID000478</t>
  </si>
  <si>
    <t>ID000005</t>
  </si>
  <si>
    <t>ID000122</t>
  </si>
  <si>
    <t>ID000536</t>
  </si>
  <si>
    <t>ID000692</t>
  </si>
  <si>
    <t>ID000255</t>
  </si>
  <si>
    <t>ID000939</t>
  </si>
  <si>
    <t>ID000083</t>
  </si>
  <si>
    <t>ID000300</t>
  </si>
  <si>
    <t>ID000462</t>
  </si>
  <si>
    <t>ID000728</t>
  </si>
  <si>
    <t>ID000925</t>
  </si>
  <si>
    <t>ID000807</t>
  </si>
  <si>
    <t>ID000938</t>
  </si>
  <si>
    <t>ID000537</t>
  </si>
  <si>
    <t>ID000633</t>
  </si>
  <si>
    <t>ID000039</t>
  </si>
  <si>
    <t>ID000180</t>
  </si>
  <si>
    <t>ID000193</t>
  </si>
  <si>
    <t>ID000326</t>
  </si>
  <si>
    <t>ID000445</t>
  </si>
  <si>
    <t>ID000161</t>
  </si>
  <si>
    <t>ID000554</t>
  </si>
  <si>
    <t>ID000824</t>
  </si>
  <si>
    <t>ID000076</t>
  </si>
  <si>
    <t>ID000249</t>
  </si>
  <si>
    <t>ID000319</t>
  </si>
  <si>
    <t>ID000516</t>
  </si>
  <si>
    <t>ID000558</t>
  </si>
  <si>
    <t>ID000637</t>
  </si>
  <si>
    <t>ID000726</t>
  </si>
  <si>
    <t>ID000888</t>
  </si>
  <si>
    <t>ID000937</t>
  </si>
  <si>
    <t>ID000128</t>
  </si>
  <si>
    <t>ID000327</t>
  </si>
  <si>
    <t>ID000481</t>
  </si>
  <si>
    <t>ID000050</t>
  </si>
  <si>
    <t>ID000186</t>
  </si>
  <si>
    <t>ID000196</t>
  </si>
  <si>
    <t>ID000084</t>
  </si>
  <si>
    <t>ID000145</t>
  </si>
  <si>
    <t>ID000305</t>
  </si>
  <si>
    <t>ID000663</t>
  </si>
  <si>
    <t>ID000846</t>
  </si>
  <si>
    <t>ID000583</t>
  </si>
  <si>
    <t>ID000806</t>
  </si>
  <si>
    <t>ID000970</t>
  </si>
  <si>
    <t>ID000079</t>
  </si>
  <si>
    <t>ID000100</t>
  </si>
  <si>
    <t>ID000177</t>
  </si>
  <si>
    <t>ID000347</t>
  </si>
  <si>
    <t>ID000466</t>
  </si>
  <si>
    <t>ID000715</t>
  </si>
  <si>
    <t>ID000827</t>
  </si>
  <si>
    <t>ID000908</t>
  </si>
  <si>
    <t>ID000582</t>
  </si>
  <si>
    <t>ID000254</t>
  </si>
  <si>
    <t>ID000521</t>
  </si>
  <si>
    <t>ID000019</t>
  </si>
  <si>
    <t>ID000043</t>
  </si>
  <si>
    <t>ID000307</t>
  </si>
  <si>
    <t>ID000322</t>
  </si>
  <si>
    <t>ID000367</t>
  </si>
  <si>
    <t>ID000400</t>
  </si>
  <si>
    <t>ID000504</t>
  </si>
  <si>
    <t>ID000665</t>
  </si>
  <si>
    <t>ID000745</t>
  </si>
  <si>
    <t>ID000785</t>
  </si>
  <si>
    <t>ID000819</t>
  </si>
  <si>
    <t>ID000886</t>
  </si>
  <si>
    <t>ID000123</t>
  </si>
  <si>
    <t>ID000093</t>
  </si>
  <si>
    <t>ID000121</t>
  </si>
  <si>
    <t>ID000143</t>
  </si>
  <si>
    <t>ID000391</t>
  </si>
  <si>
    <t>ID000392</t>
  </si>
  <si>
    <t>ID000398</t>
  </si>
  <si>
    <t>ID000456</t>
  </si>
  <si>
    <t>ID000508</t>
  </si>
  <si>
    <t>ID000662</t>
  </si>
  <si>
    <t>ID000684</t>
  </si>
  <si>
    <t>ID000690</t>
  </si>
  <si>
    <t>ID000699</t>
  </si>
  <si>
    <t>ID000763</t>
  </si>
  <si>
    <t>ID000792</t>
  </si>
  <si>
    <t>ID000834</t>
  </si>
  <si>
    <t>ID000916</t>
  </si>
  <si>
    <t>ID000975</t>
  </si>
  <si>
    <t>ID000995</t>
  </si>
  <si>
    <t>ID000996</t>
  </si>
  <si>
    <t>ID000185</t>
  </si>
  <si>
    <t>ID000318</t>
  </si>
  <si>
    <t>ID000889</t>
  </si>
  <si>
    <t>ID000961</t>
  </si>
  <si>
    <t>ID000021</t>
  </si>
  <si>
    <t>ID000103</t>
  </si>
  <si>
    <t>ID000273</t>
  </si>
  <si>
    <t>ID000448</t>
  </si>
  <si>
    <t>ID000471</t>
  </si>
  <si>
    <t>ID000497</t>
  </si>
  <si>
    <t>ID000635</t>
  </si>
  <si>
    <t>ID000754</t>
  </si>
  <si>
    <t>ID000773</t>
  </si>
  <si>
    <t>ID000941</t>
  </si>
  <si>
    <t>ID000993</t>
  </si>
  <si>
    <t>ID000027</t>
  </si>
  <si>
    <t>ID000091</t>
  </si>
  <si>
    <t>ID000097</t>
  </si>
  <si>
    <t>ID000206</t>
  </si>
  <si>
    <t>ID000233</t>
  </si>
  <si>
    <t>ID000658</t>
  </si>
  <si>
    <t>ID000670</t>
  </si>
  <si>
    <t>ID000813</t>
  </si>
  <si>
    <t>ID000902</t>
  </si>
  <si>
    <t>ID000707</t>
  </si>
  <si>
    <t>ID000022</t>
  </si>
  <si>
    <t>ID000332</t>
  </si>
  <si>
    <t>ID000345</t>
  </si>
  <si>
    <t>ID000374</t>
  </si>
  <si>
    <t>ID000505</t>
  </si>
  <si>
    <t>ID000749</t>
  </si>
  <si>
    <t>ID000378</t>
  </si>
  <si>
    <t>ID000512</t>
  </si>
  <si>
    <t>ID000543</t>
  </si>
  <si>
    <t>ID000753</t>
  </si>
  <si>
    <t>ID000986</t>
  </si>
  <si>
    <t>ID000632</t>
  </si>
  <si>
    <t>ID000896</t>
  </si>
  <si>
    <t>ID000112</t>
  </si>
  <si>
    <t>ID000146</t>
  </si>
  <si>
    <t>ID000182</t>
  </si>
  <si>
    <t>ID000285</t>
  </si>
  <si>
    <t>ID000386</t>
  </si>
  <si>
    <t>ID000444</t>
  </si>
  <si>
    <t>ID000453</t>
  </si>
  <si>
    <t>ID000642</t>
  </si>
  <si>
    <t>ID000688</t>
  </si>
  <si>
    <t>ID000750</t>
  </si>
  <si>
    <t>ID000881</t>
  </si>
  <si>
    <t>ID000983</t>
  </si>
  <si>
    <t>ID000272</t>
  </si>
  <si>
    <t>ID000288</t>
  </si>
  <si>
    <t>ID000375</t>
  </si>
  <si>
    <t>ID000506</t>
  </si>
  <si>
    <t>ID000542</t>
  </si>
  <si>
    <t>ID000555</t>
  </si>
  <si>
    <t>ID000604</t>
  </si>
  <si>
    <t>ID000736</t>
  </si>
  <si>
    <t>ID000872</t>
  </si>
  <si>
    <t>ID000954</t>
  </si>
  <si>
    <t>ID000074</t>
  </si>
  <si>
    <t>ID000278</t>
  </si>
  <si>
    <t>ID000301</t>
  </si>
  <si>
    <t>ID000427</t>
  </si>
  <si>
    <t>ID000835</t>
  </si>
  <si>
    <t>ID000837</t>
  </si>
  <si>
    <t>ID000059</t>
  </si>
  <si>
    <t>ID000197</t>
  </si>
  <si>
    <t>ID000032</t>
  </si>
  <si>
    <t>ID000279</t>
  </si>
  <si>
    <t>ID000355</t>
  </si>
  <si>
    <t>ID000399</t>
  </si>
  <si>
    <t>ID000510</t>
  </si>
  <si>
    <t>ID000713</t>
  </si>
  <si>
    <t>ID000777</t>
  </si>
  <si>
    <t>ID000782</t>
  </si>
  <si>
    <t>ID000800</t>
  </si>
  <si>
    <t>ID000990</t>
  </si>
  <si>
    <t>ID000227</t>
  </si>
  <si>
    <t>ID000291</t>
  </si>
  <si>
    <t>ID000308</t>
  </si>
  <si>
    <t>ID000547</t>
  </si>
  <si>
    <t>ID000550</t>
  </si>
  <si>
    <t>ID000731</t>
  </si>
  <si>
    <t>ID000929</t>
  </si>
  <si>
    <t>ID000952</t>
  </si>
  <si>
    <t>ID000985</t>
  </si>
  <si>
    <t>ID000987</t>
  </si>
  <si>
    <t>ID000075</t>
  </si>
  <si>
    <t>ID000135</t>
  </si>
  <si>
    <t>ID000302</t>
  </si>
  <si>
    <t>ID000389</t>
  </si>
  <si>
    <t>ID000607</t>
  </si>
  <si>
    <t>ID000618</t>
  </si>
  <si>
    <t>ID000783</t>
  </si>
  <si>
    <t>ID000056</t>
  </si>
  <si>
    <t>ID000201</t>
  </si>
  <si>
    <t>ID000173</t>
  </si>
  <si>
    <t>ID000209</t>
  </si>
  <si>
    <t>ID000223</t>
  </si>
  <si>
    <t>ID000276</t>
  </si>
  <si>
    <t>ID000351</t>
  </si>
  <si>
    <t>ID000423</t>
  </si>
  <si>
    <t>ID000509</t>
  </si>
  <si>
    <t>ID000541</t>
  </si>
  <si>
    <t>ID000712</t>
  </si>
  <si>
    <t>ID000723</t>
  </si>
  <si>
    <t>ID000732</t>
  </si>
  <si>
    <t>ID000761</t>
  </si>
  <si>
    <t>ID000765</t>
  </si>
  <si>
    <t>ID000781</t>
  </si>
  <si>
    <t>ID000863</t>
  </si>
  <si>
    <t>ID000973</t>
  </si>
  <si>
    <t>ID000109</t>
  </si>
  <si>
    <t>ID000257</t>
  </si>
  <si>
    <t>ID000068</t>
  </si>
  <si>
    <t>ID000171</t>
  </si>
  <si>
    <t>ID000545</t>
  </si>
  <si>
    <t>ID000587</t>
  </si>
  <si>
    <t>ID000653</t>
  </si>
  <si>
    <t>ID000722</t>
  </si>
  <si>
    <t>ID000860</t>
  </si>
  <si>
    <t>ID000567</t>
  </si>
  <si>
    <t>ID000693</t>
  </si>
  <si>
    <t>ID000137</t>
  </si>
  <si>
    <t>ID000560</t>
  </si>
  <si>
    <t>ID000589</t>
  </si>
  <si>
    <t>ID000647</t>
  </si>
  <si>
    <t>ID000720</t>
  </si>
  <si>
    <t>ID000920</t>
  </si>
  <si>
    <t>ID000979</t>
  </si>
  <si>
    <t>ID000125</t>
  </si>
  <si>
    <t>ID000311</t>
  </si>
  <si>
    <t>ID000517</t>
  </si>
  <si>
    <t>ID000077</t>
  </si>
  <si>
    <t>ID000148</t>
  </si>
  <si>
    <t>ID000189</t>
  </si>
  <si>
    <t>ID000290</t>
  </si>
  <si>
    <t>ID000671</t>
  </si>
  <si>
    <t>ID000674</t>
  </si>
  <si>
    <t>ID000877</t>
  </si>
  <si>
    <t>ID000060</t>
  </si>
  <si>
    <t>ID000029</t>
  </si>
  <si>
    <t>ID000073</t>
  </si>
  <si>
    <t>ID000211</t>
  </si>
  <si>
    <t>ID000329</t>
  </si>
  <si>
    <t>ID000359</t>
  </si>
  <si>
    <t>ID000565</t>
  </si>
  <si>
    <t>ID000711</t>
  </si>
  <si>
    <t>ID000832</t>
  </si>
  <si>
    <t>ID000900</t>
  </si>
  <si>
    <t>ID000141</t>
  </si>
  <si>
    <t>ID000265</t>
  </si>
  <si>
    <t>ID000294</t>
  </si>
  <si>
    <t>ID000341</t>
  </si>
  <si>
    <t>ID000352</t>
  </si>
  <si>
    <t>ID000429</t>
  </si>
  <si>
    <t>ID000467</t>
  </si>
  <si>
    <t>ID000844</t>
  </si>
  <si>
    <t>ID000926</t>
  </si>
  <si>
    <t>ID000705</t>
  </si>
  <si>
    <t>ID000966</t>
  </si>
  <si>
    <t>ID000396</t>
  </si>
  <si>
    <t>ID000072</t>
  </si>
  <si>
    <t>ID000134</t>
  </si>
  <si>
    <t>ID000337</t>
  </si>
  <si>
    <t>ID000496</t>
  </si>
  <si>
    <t>ID000556</t>
  </si>
  <si>
    <t>ID000740</t>
  </si>
  <si>
    <t>ID000841</t>
  </si>
  <si>
    <t>ID000119</t>
  </si>
  <si>
    <t>ID000247</t>
  </si>
  <si>
    <t>ID000393</t>
  </si>
  <si>
    <t>ID000525</t>
  </si>
  <si>
    <t>ID000640</t>
  </si>
  <si>
    <t>ID000878</t>
  </si>
  <si>
    <t>ID000887</t>
  </si>
  <si>
    <t>ID000126</t>
  </si>
  <si>
    <t>ID000229</t>
  </si>
  <si>
    <t>ID000286</t>
  </si>
  <si>
    <t>ID000296</t>
  </si>
  <si>
    <t>ID000343</t>
  </si>
  <si>
    <t>ID000360</t>
  </si>
  <si>
    <t>ID000415</t>
  </si>
  <si>
    <t>ID000495</t>
  </si>
  <si>
    <t>ID000717</t>
  </si>
  <si>
    <t>ID000870</t>
  </si>
  <si>
    <t>ID000704</t>
  </si>
  <si>
    <t>ID000486</t>
  </si>
  <si>
    <t>ID000579</t>
  </si>
  <si>
    <t>ID000243</t>
  </si>
  <si>
    <t>ID000455</t>
  </si>
  <si>
    <t>ID000919</t>
  </si>
  <si>
    <t>ID000157</t>
  </si>
  <si>
    <t>ID000219</t>
  </si>
  <si>
    <t>ID000262</t>
  </si>
  <si>
    <t>ID000283</t>
  </si>
  <si>
    <t>ID000298</t>
  </si>
  <si>
    <t>ID000339</t>
  </si>
  <si>
    <t>ID000403</t>
  </si>
  <si>
    <t>ID000458</t>
  </si>
  <si>
    <t>ID000473</t>
  </si>
  <si>
    <t>ID000894</t>
  </si>
  <si>
    <t>ID000903</t>
  </si>
  <si>
    <t>ID000906</t>
  </si>
  <si>
    <t>ID000949</t>
  </si>
  <si>
    <t>ID000052</t>
  </si>
  <si>
    <t>ID000013</t>
  </si>
  <si>
    <t>ID000031</t>
  </si>
  <si>
    <t>ID000150</t>
  </si>
  <si>
    <t>ID000169</t>
  </si>
  <si>
    <t>ID000242</t>
  </si>
  <si>
    <t>ID000410</t>
  </si>
  <si>
    <t>ID000475</t>
  </si>
  <si>
    <t>ID000544</t>
  </si>
  <si>
    <t>ID000612</t>
  </si>
  <si>
    <t>ID000627</t>
  </si>
  <si>
    <t>ID000804</t>
  </si>
  <si>
    <t>ID000855</t>
  </si>
  <si>
    <t>ID000874</t>
  </si>
  <si>
    <t>ID000909</t>
  </si>
  <si>
    <t>ID000299</t>
  </si>
  <si>
    <t>ID000904</t>
  </si>
  <si>
    <t>ID000051</t>
  </si>
  <si>
    <t>ID000030</t>
  </si>
  <si>
    <t>ID000096</t>
  </si>
  <si>
    <t>ID000338</t>
  </si>
  <si>
    <t>ID000349</t>
  </si>
  <si>
    <t>ID000470</t>
  </si>
  <si>
    <t>ID000584</t>
  </si>
  <si>
    <t>ID000951</t>
  </si>
  <si>
    <t>ID000025</t>
  </si>
  <si>
    <t>ID000147</t>
  </si>
  <si>
    <t>ID000154</t>
  </si>
  <si>
    <t>ID000755</t>
  </si>
  <si>
    <t>ID000981</t>
  </si>
  <si>
    <t>ID000810</t>
  </si>
  <si>
    <t>ID000221</t>
  </si>
  <si>
    <t>ID000284</t>
  </si>
  <si>
    <t>ID000528</t>
  </si>
  <si>
    <t>ID000668</t>
  </si>
  <si>
    <t>ID000676</t>
  </si>
  <si>
    <t>ID000695</t>
  </si>
  <si>
    <t>ID000738</t>
  </si>
  <si>
    <t>ID000746</t>
  </si>
  <si>
    <t>ID000762</t>
  </si>
  <si>
    <t>ID000789</t>
  </si>
  <si>
    <t>ID000969</t>
  </si>
  <si>
    <t>ID000160</t>
  </si>
  <si>
    <t>ID000340</t>
  </si>
  <si>
    <t>ID000460</t>
  </si>
  <si>
    <t>ID000613</t>
  </si>
  <si>
    <t>ID000616</t>
  </si>
  <si>
    <t>ID000651</t>
  </si>
  <si>
    <t>ID000682</t>
  </si>
  <si>
    <t>ID000756</t>
  </si>
  <si>
    <t>ID000794</t>
  </si>
  <si>
    <t>ID000861</t>
  </si>
  <si>
    <t>ID000991</t>
  </si>
  <si>
    <t>ID000703</t>
  </si>
  <si>
    <t>ID000095</t>
  </si>
  <si>
    <t>ID000430</t>
  </si>
  <si>
    <t>ID000464</t>
  </si>
  <si>
    <t>ID000563</t>
  </si>
  <si>
    <t>ID000956</t>
  </si>
  <si>
    <t>ID000808</t>
  </si>
  <si>
    <t>ID000065</t>
  </si>
  <si>
    <t>ID000239</t>
  </si>
  <si>
    <t>ID000420</t>
  </si>
  <si>
    <t>ID000500</t>
  </si>
  <si>
    <t>ID000540</t>
  </si>
  <si>
    <t>ID000814</t>
  </si>
  <si>
    <t>ID000839</t>
  </si>
  <si>
    <t>ID000959</t>
  </si>
  <si>
    <t>ID000972</t>
  </si>
  <si>
    <t>ID000144</t>
  </si>
  <si>
    <t>ID000159</t>
  </si>
  <si>
    <t>ID000166</t>
  </si>
  <si>
    <t>ID000336</t>
  </si>
  <si>
    <t>ID000561</t>
  </si>
  <si>
    <t>ID000133</t>
  </si>
  <si>
    <t>ID000553</t>
  </si>
  <si>
    <t>ID000677</t>
  </si>
  <si>
    <t>ID000683</t>
  </si>
  <si>
    <t>ID000955</t>
  </si>
  <si>
    <t>ID000004</t>
  </si>
  <si>
    <t>ID000024</t>
  </si>
  <si>
    <t>ID000222</t>
  </si>
  <si>
    <t>ID000469</t>
  </si>
  <si>
    <t>ID000596</t>
  </si>
  <si>
    <t>ID000622</t>
  </si>
  <si>
    <t>ID000892</t>
  </si>
  <si>
    <t>ID000130</t>
  </si>
  <si>
    <t>ID000181</t>
  </si>
  <si>
    <t>ID000188</t>
  </si>
  <si>
    <t>ID000067</t>
  </si>
  <si>
    <t>ID000089</t>
  </si>
  <si>
    <t>ID000102</t>
  </si>
  <si>
    <t>ID000163</t>
  </si>
  <si>
    <t>ID000263</t>
  </si>
  <si>
    <t>ID000417</t>
  </si>
  <si>
    <t>ID000436</t>
  </si>
  <si>
    <t>ID000817</t>
  </si>
  <si>
    <t>ID000702</t>
  </si>
  <si>
    <t>ID000018</t>
  </si>
  <si>
    <t>ID000092</t>
  </si>
  <si>
    <t>ID000208</t>
  </si>
  <si>
    <t>ID000424</t>
  </si>
  <si>
    <t>ID000601</t>
  </si>
  <si>
    <t>ID000771</t>
  </si>
  <si>
    <t>ID000852</t>
  </si>
  <si>
    <t>ID000534</t>
  </si>
  <si>
    <t>ID000252</t>
  </si>
  <si>
    <t>ID000369</t>
  </si>
  <si>
    <t>ID000105</t>
  </si>
  <si>
    <t>ID000320</t>
  </si>
  <si>
    <t>ID000786</t>
  </si>
  <si>
    <t>ID000149</t>
  </si>
  <si>
    <t>ID000232</t>
  </si>
  <si>
    <t>ID000235</t>
  </si>
  <si>
    <t>ID000274</t>
  </si>
  <si>
    <t>ID000275</t>
  </si>
  <si>
    <t>ID000342</t>
  </si>
  <si>
    <t>ID000492</t>
  </si>
  <si>
    <t>ID000493</t>
  </si>
  <si>
    <t>ID000585</t>
  </si>
  <si>
    <t>ID000602</t>
  </si>
  <si>
    <t>ID000672</t>
  </si>
  <si>
    <t>ID000778</t>
  </si>
  <si>
    <t>ID000867</t>
  </si>
  <si>
    <t>ID000041</t>
  </si>
  <si>
    <t>ID000295</t>
  </si>
  <si>
    <t>ID000775</t>
  </si>
  <si>
    <t>ID000856</t>
  </si>
  <si>
    <t>ID000907</t>
  </si>
  <si>
    <t>ID000944</t>
  </si>
  <si>
    <t>ID000132</t>
  </si>
  <si>
    <t>ID000533</t>
  </si>
  <si>
    <t>ID000055</t>
  </si>
  <si>
    <t>ID000535</t>
  </si>
  <si>
    <t>ID000634</t>
  </si>
  <si>
    <t>ID000700</t>
  </si>
  <si>
    <t>ID000033</t>
  </si>
  <si>
    <t>ID000440</t>
  </si>
  <si>
    <t>ID000710</t>
  </si>
  <si>
    <t>ID000729</t>
  </si>
  <si>
    <t>ID000864</t>
  </si>
  <si>
    <t>ID000974</t>
  </si>
  <si>
    <t>ID000053</t>
  </si>
  <si>
    <t>ID000366</t>
  </si>
  <si>
    <t>ID000413</t>
  </si>
  <si>
    <t>ID000026</t>
  </si>
  <si>
    <t>ID000085</t>
  </si>
  <si>
    <t>ID000207</t>
  </si>
  <si>
    <t>ID000816</t>
  </si>
  <si>
    <t>ID000127</t>
  </si>
  <si>
    <t>ID000362</t>
  </si>
  <si>
    <t>ID000884</t>
  </si>
  <si>
    <t>ID000063</t>
  </si>
  <si>
    <t>ID000218</t>
  </si>
  <si>
    <t>ID000266</t>
  </si>
  <si>
    <t>ID000610</t>
  </si>
  <si>
    <t>ID000660</t>
  </si>
  <si>
    <t>ID000661</t>
  </si>
  <si>
    <t>ID000714</t>
  </si>
  <si>
    <t>ID000766</t>
  </si>
  <si>
    <t>ID000992</t>
  </si>
  <si>
    <t>ID000485</t>
  </si>
  <si>
    <t>ID000694</t>
  </si>
  <si>
    <t>ID000258</t>
  </si>
  <si>
    <t>ID000011</t>
  </si>
  <si>
    <t>ID000187</t>
  </si>
  <si>
    <t>ID000382</t>
  </si>
  <si>
    <t>ID000407</t>
  </si>
  <si>
    <t>ID000421</t>
  </si>
  <si>
    <t>ID000580</t>
  </si>
  <si>
    <t>ID000866</t>
  </si>
  <si>
    <t>ID000890</t>
  </si>
  <si>
    <t>ID000064</t>
  </si>
  <si>
    <t>ID000426</t>
  </si>
  <si>
    <t>ID000590</t>
  </si>
  <si>
    <t>ID000619</t>
  </si>
  <si>
    <t>ID000666</t>
  </si>
  <si>
    <t>ID000734</t>
  </si>
  <si>
    <t>ID000963</t>
  </si>
  <si>
    <t>ID000708</t>
  </si>
  <si>
    <t>ID000062</t>
  </si>
  <si>
    <t>Terminate</t>
  </si>
  <si>
    <t>ID000071</t>
  </si>
  <si>
    <t>ID000303</t>
  </si>
  <si>
    <t>ID000384</t>
  </si>
  <si>
    <t>ID000394</t>
  </si>
  <si>
    <t>ID000395</t>
  </si>
  <si>
    <t>ID000657</t>
  </si>
  <si>
    <t>ID000818</t>
  </si>
  <si>
    <t>ID000859</t>
  </si>
  <si>
    <t>ID000914</t>
  </si>
  <si>
    <t>ID000957</t>
  </si>
  <si>
    <t>ID000988</t>
  </si>
  <si>
    <t>ID000372</t>
  </si>
  <si>
    <t>ID000826</t>
  </si>
  <si>
    <t>ID000868</t>
  </si>
  <si>
    <t>ID000087</t>
  </si>
  <si>
    <t>ID000353</t>
  </si>
  <si>
    <t>ID000356</t>
  </si>
  <si>
    <t>ID000721</t>
  </si>
  <si>
    <t>ID000412</t>
  </si>
  <si>
    <t>ID000483</t>
  </si>
  <si>
    <t>ID000015</t>
  </si>
  <si>
    <t>ID000088</t>
  </si>
  <si>
    <t>ID000174</t>
  </si>
  <si>
    <t>ID000419</t>
  </si>
  <si>
    <t>ID000501</t>
  </si>
  <si>
    <t>ID000650</t>
  </si>
  <si>
    <t>ID000768</t>
  </si>
  <si>
    <t>ID000821</t>
  </si>
  <si>
    <t>ID000897</t>
  </si>
  <si>
    <t>ID000968</t>
  </si>
  <si>
    <t>ID000194</t>
  </si>
  <si>
    <t>ID000270</t>
  </si>
  <si>
    <t>ID000317</t>
  </si>
  <si>
    <t>ID000465</t>
  </si>
  <si>
    <t>ID000531</t>
  </si>
  <si>
    <t>ID000639</t>
  </si>
  <si>
    <t>ID000698</t>
  </si>
  <si>
    <t>ID000036</t>
  </si>
  <si>
    <t>ID000080</t>
  </si>
  <si>
    <t>ID000175</t>
  </si>
  <si>
    <t>ID000234</t>
  </si>
  <si>
    <t>ID000557</t>
  </si>
  <si>
    <t>ID000757</t>
  </si>
  <si>
    <t>ID000002</t>
  </si>
  <si>
    <t>ID000142</t>
  </si>
  <si>
    <t>ID000388</t>
  </si>
  <si>
    <t>ID000594</t>
  </si>
  <si>
    <t>ID000716</t>
  </si>
  <si>
    <t>ID000733</t>
  </si>
  <si>
    <t>ID000758</t>
  </si>
  <si>
    <t>ID000910</t>
  </si>
  <si>
    <t>ID000094</t>
  </si>
  <si>
    <t>ID000365</t>
  </si>
  <si>
    <t>ID000479</t>
  </si>
  <si>
    <t>ID000532</t>
  </si>
  <si>
    <t>ID000838</t>
  </si>
  <si>
    <t>ID000858</t>
  </si>
  <si>
    <t>ID000982</t>
  </si>
  <si>
    <t>ID000006</t>
  </si>
  <si>
    <t>ID000411</t>
  </si>
  <si>
    <t>ID000452</t>
  </si>
  <si>
    <t>ID000162</t>
  </si>
  <si>
    <t>ID000442</t>
  </si>
  <si>
    <t>ID000624</t>
  </si>
  <si>
    <t>ID000680</t>
  </si>
  <si>
    <t>ID000685</t>
  </si>
  <si>
    <t>ID000752</t>
  </si>
  <si>
    <t>ID000759</t>
  </si>
  <si>
    <t>ID000774</t>
  </si>
  <si>
    <t>ID000879</t>
  </si>
  <si>
    <t>ID000911</t>
  </si>
  <si>
    <t>ID000927</t>
  </si>
  <si>
    <t>ID000931</t>
  </si>
  <si>
    <t>ID000943</t>
  </si>
  <si>
    <t>ID000054</t>
  </si>
  <si>
    <t>ID000179</t>
  </si>
  <si>
    <t>ID000312</t>
  </si>
  <si>
    <t>ID000446</t>
  </si>
  <si>
    <t>ID000621</t>
  </si>
  <si>
    <t>ID000248</t>
  </si>
  <si>
    <t>ID000803</t>
  </si>
  <si>
    <t>ID000176</t>
  </si>
  <si>
    <t>ID000331</t>
  </si>
  <si>
    <t>ID000482</t>
  </si>
  <si>
    <t>ID000631</t>
  </si>
  <si>
    <t>ID000898</t>
  </si>
  <si>
    <t>ID000701</t>
  </si>
  <si>
    <t>ID000422</t>
  </si>
  <si>
    <t>ID000450</t>
  </si>
  <si>
    <t>ID000494</t>
  </si>
  <si>
    <t>ID000559</t>
  </si>
  <si>
    <t>ID000571</t>
  </si>
  <si>
    <t>ID000575</t>
  </si>
  <si>
    <t>ID000620</t>
  </si>
  <si>
    <t>ID000748</t>
  </si>
  <si>
    <t>ID000942</t>
  </si>
  <si>
    <t>ID000198</t>
  </si>
  <si>
    <t>ID000414</t>
  </si>
  <si>
    <t>ID000675</t>
  </si>
  <si>
    <t>ID000913</t>
  </si>
  <si>
    <t>ID000434</t>
  </si>
  <si>
    <t>ID000438</t>
  </si>
  <si>
    <t>ID000764</t>
  </si>
  <si>
    <t>ID000001</t>
  </si>
  <si>
    <t>ID000706</t>
  </si>
  <si>
    <t>ID000801</t>
  </si>
  <si>
    <t>ID000129</t>
  </si>
  <si>
    <t>ID000390</t>
  </si>
  <si>
    <t>ID000918</t>
  </si>
  <si>
    <t>ID000958</t>
  </si>
  <si>
    <t>ID000967</t>
  </si>
  <si>
    <t>ID000267</t>
  </si>
  <si>
    <t>ID000472</t>
  </si>
  <si>
    <t>ID000573</t>
  </si>
  <si>
    <t>ID000697</t>
  </si>
  <si>
    <t>ID000865</t>
  </si>
  <si>
    <t>ID000895</t>
  </si>
  <si>
    <t>ID000250</t>
  </si>
  <si>
    <t>ID000328</t>
  </si>
  <si>
    <t>ID000811</t>
  </si>
  <si>
    <t>ID000259</t>
  </si>
  <si>
    <t>ID000484</t>
  </si>
  <si>
    <t>ID000802</t>
  </si>
  <si>
    <t>ID000040</t>
  </si>
  <si>
    <t>ID000527</t>
  </si>
  <si>
    <t>ID000010</t>
  </si>
  <si>
    <t>ID000098</t>
  </si>
  <si>
    <t>ID000153</t>
  </si>
  <si>
    <t>ID000210</t>
  </si>
  <si>
    <t>ID000231</t>
  </si>
  <si>
    <t>ID000376</t>
  </si>
  <si>
    <t>ID000251</t>
  </si>
  <si>
    <t>ID000012</t>
  </si>
  <si>
    <t>ID000205</t>
  </si>
  <si>
    <t>ID000271</t>
  </si>
  <si>
    <t>ID000520</t>
  </si>
  <si>
    <t>ID000569</t>
  </si>
  <si>
    <t>ID000617</t>
  </si>
  <si>
    <t>ID000709</t>
  </si>
  <si>
    <t>ID000638</t>
  </si>
  <si>
    <t>ID000081</t>
  </si>
  <si>
    <t>ID000664</t>
  </si>
  <si>
    <t>ID000905</t>
  </si>
  <si>
    <t>ID000977</t>
  </si>
  <si>
    <t>ID000636</t>
  </si>
  <si>
    <t>ID000046</t>
  </si>
  <si>
    <t>ID000066</t>
  </si>
  <si>
    <t>ID000213</t>
  </si>
  <si>
    <t>ID000230</t>
  </si>
  <si>
    <t>ID000260</t>
  </si>
  <si>
    <t>ID000325</t>
  </si>
  <si>
    <t>ID000364</t>
  </si>
  <si>
    <t>ID000416</t>
  </si>
  <si>
    <t>ID000625</t>
  </si>
  <si>
    <t>ID000805</t>
  </si>
  <si>
    <t>ID000078</t>
  </si>
  <si>
    <t>ID000172</t>
  </si>
  <si>
    <t>ID000538</t>
  </si>
  <si>
    <t>ID000605</t>
  </si>
  <si>
    <t>ID000645</t>
  </si>
  <si>
    <t>ID000769</t>
  </si>
  <si>
    <t>ID000857</t>
  </si>
  <si>
    <t>ID000871</t>
  </si>
  <si>
    <t>ID000976</t>
  </si>
  <si>
    <t>ID000980</t>
  </si>
  <si>
    <t>ID000090</t>
  </si>
  <si>
    <t>ID000114</t>
  </si>
  <si>
    <t>ID000136</t>
  </si>
  <si>
    <t>ID000215</t>
  </si>
  <si>
    <t>ID000297</t>
  </si>
  <si>
    <t>ID000304</t>
  </si>
  <si>
    <t>ID000425</t>
  </si>
  <si>
    <t>ID000611</t>
  </si>
  <si>
    <t>ID000615</t>
  </si>
  <si>
    <t>ID000718</t>
  </si>
  <si>
    <t>ID000730</t>
  </si>
  <si>
    <t>ID000831</t>
  </si>
  <si>
    <t>ID000950</t>
  </si>
  <si>
    <t>ID000246</t>
  </si>
  <si>
    <t>ID000111</t>
  </si>
  <si>
    <t>ID000256</t>
  </si>
  <si>
    <t>ID000323</t>
  </si>
  <si>
    <t>ID000623</t>
  </si>
  <si>
    <t>ID000935</t>
  </si>
  <si>
    <t>ID000253</t>
  </si>
  <si>
    <t>ID000578</t>
  </si>
  <si>
    <t>ID000118</t>
  </si>
  <si>
    <t>ID000313</t>
  </si>
  <si>
    <t>ID000581</t>
  </si>
  <si>
    <t>ID000691</t>
  </si>
  <si>
    <t>ID000999</t>
  </si>
  <si>
    <t>ID000236</t>
  </si>
  <si>
    <t>ID000809</t>
  </si>
  <si>
    <t>ID001000</t>
  </si>
  <si>
    <t>ID000315</t>
  </si>
  <si>
    <t>ID000570</t>
  </si>
  <si>
    <t>ID000962</t>
  </si>
  <si>
    <t>ID000106</t>
  </si>
  <si>
    <t>ID000689</t>
  </si>
  <si>
    <t>Metric</t>
  </si>
  <si>
    <t>Value (Paste Formula Here)</t>
  </si>
  <si>
    <t>Overall Metrics</t>
  </si>
  <si>
    <t>Total Headcount</t>
  </si>
  <si>
    <t>Retained Headcount</t>
  </si>
  <si>
    <t>Total Annual Salary Cost</t>
  </si>
  <si>
    <t>Retained Annual Salary Cost</t>
  </si>
  <si>
    <t>Total Output Units</t>
  </si>
  <si>
    <t>Retained Output Units</t>
  </si>
  <si>
    <t>Blended Output-to-Cost Ratio</t>
  </si>
  <si>
    <t>Retained Output-to-Cost Ratio</t>
  </si>
  <si>
    <t>(Assuming B5 is Total Output and B4 is Total Salary)</t>
  </si>
  <si>
    <t>(Assuming E5 is Retained Output and E4 is Retained Salary)</t>
  </si>
  <si>
    <t>Performance Breakdown</t>
  </si>
  <si>
    <t>Count of A-Rated</t>
  </si>
  <si>
    <t>Retained A-Rated</t>
  </si>
  <si>
    <t>Count of B-Rated</t>
  </si>
  <si>
    <t>Retained B-Rated</t>
  </si>
  <si>
    <t>Count of C-Rated</t>
  </si>
  <si>
    <t>Retained C-Rated</t>
  </si>
  <si>
    <t>Tenure Breakdown</t>
  </si>
  <si>
    <t>Count Tenure &gt; 15 Yrs</t>
  </si>
  <si>
    <t>Retained Tenure &gt; 15 Yrs</t>
  </si>
  <si>
    <t>Count Tenure &gt; 5 Yrs</t>
  </si>
  <si>
    <t>Retained Tenure &gt; 5 Yrs</t>
  </si>
  <si>
    <t>Pre-Merger Company Output</t>
  </si>
  <si>
    <t>Post-Merger Company Output</t>
  </si>
  <si>
    <t>Technova Total Output</t>
  </si>
  <si>
    <t>Technova Retained Output</t>
  </si>
  <si>
    <t>DataVerse Total Output</t>
  </si>
  <si>
    <t>DataVerse Retained Output</t>
  </si>
  <si>
    <t>Before</t>
  </si>
  <si>
    <t>After</t>
  </si>
  <si>
    <t>Count of Employee_ID</t>
  </si>
  <si>
    <t>Original Technova</t>
  </si>
  <si>
    <t>Minimum Technova</t>
  </si>
  <si>
    <t>Original DataVerse</t>
  </si>
  <si>
    <t>Minimum DataVerse</t>
  </si>
  <si>
    <t>Grand Total</t>
  </si>
  <si>
    <t>IT and Systems</t>
  </si>
  <si>
    <t>IT &amp; Systems</t>
  </si>
  <si>
    <t>Manufacturing &amp; operations</t>
  </si>
  <si>
    <t>Sales &amp; Marketing</t>
  </si>
  <si>
    <t>Performance Mix</t>
  </si>
  <si>
    <t>Count</t>
  </si>
  <si>
    <t>Tenure Group</t>
  </si>
  <si>
    <t>Employee Count</t>
  </si>
  <si>
    <t>Senior (&gt;15 Yrs)</t>
  </si>
  <si>
    <t>=E13</t>
  </si>
  <si>
    <t>Mid-Level (6-15 Yrs)</t>
  </si>
  <si>
    <t>=E14-E13</t>
  </si>
  <si>
    <t>Junior (&lt;=5 Yrs)</t>
  </si>
  <si>
    <t>=E3-E14</t>
  </si>
  <si>
    <t>Output-to-Cost Ratio</t>
  </si>
  <si>
    <t>Total Cost Savings</t>
  </si>
  <si>
    <t>Efficiency Gain (Ratio)</t>
  </si>
  <si>
    <t>A-Player Retention</t>
  </si>
  <si>
    <t>Average of Unified_Performance_Score</t>
  </si>
  <si>
    <t>(All)</t>
  </si>
  <si>
    <t>Values</t>
  </si>
  <si>
    <t>Total Count of Employee_ID</t>
  </si>
  <si>
    <t>Total Sum of Salary</t>
  </si>
  <si>
    <t>Sum of Salary</t>
  </si>
  <si>
    <t>Total Average of Unified_Performance_Score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</si>
</sst>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m/d/yyyy"/>
  </numFmts>
  <fonts count="9">
    <font>
      <sz val="11"/>
      <color theme="1"/>
      <name val="Calibri"/>
      <family val="2"/>
      <scheme val="minor"/>
    </font>
    <font>
      <sz val="11"/>
      <color rgb="FFC4C7C5"/>
      <name val="Google Sans Mono"/>
      <family val="3"/>
      <charset val="1"/>
    </font>
    <font>
      <b/>
      <sz val="11"/>
      <color rgb="FF1B1C1D"/>
      <name val="Google Sans Text"/>
      <family val="2"/>
      <charset val="1"/>
    </font>
    <font>
      <sz val="11"/>
      <color rgb="FF1B1C1D"/>
      <name val="Google Sans Text"/>
      <family val="2"/>
      <charset val="1"/>
    </font>
    <font>
      <sz val="11"/>
      <color rgb="FF444746"/>
      <name val="Google Sans Text"/>
      <family val="2"/>
      <charset val="1"/>
    </font>
    <font>
      <b/>
      <sz val="11"/>
      <color theme="1"/>
      <name val="Calibri"/>
      <family val="2"/>
      <scheme val="minor"/>
    </font>
    <font>
      <b/>
      <sz val="11"/>
      <color rgb="FF1B1C1D"/>
      <name val="Google Sans Text"/>
      <charset val="1"/>
    </font>
    <font>
      <sz val="11"/>
      <color rgb="FF1B1C1D"/>
      <name val="Google Sans Text"/>
      <charset val="1"/>
    </font>
    <font>
      <sz val="11"/>
      <color rgb="FF444746"/>
      <name val="Google Sans Text"/>
      <charset val="1"/>
    </font>
  </fonts>
  <fills count="3">
    <fill>
      <patternFill patternType="none"/>
    </fill>
    <fill>
      <patternFill patternType="gray125"/>
    </fill>
    <fill>
      <patternFill patternType="solid">
        <fgColor rgb="FF333537"/>
        <bgColor indexed="64"/>
      </patternFill>
    </fill>
  </fills>
  <borders count="4">
    <border>
      <left/>
      <right/>
      <top/>
      <bottom/>
      <diagonal/>
    </border>
    <border>
      <left style="thin">
        <color rgb="FF1B1C1D"/>
      </left>
      <right style="thin">
        <color rgb="FF1B1C1D"/>
      </right>
      <top style="thin">
        <color rgb="FF1B1C1D"/>
      </top>
      <bottom style="thin">
        <color rgb="FF1B1C1D"/>
      </bottom>
      <diagonal/>
    </border>
    <border>
      <left style="thin">
        <color rgb="FF1B1C1D"/>
      </left>
      <right style="thin">
        <color rgb="FF1B1C1D"/>
      </right>
      <top style="thin">
        <color rgb="FF1B1C1D"/>
      </top>
      <bottom/>
      <diagonal/>
    </border>
    <border>
      <left style="thin">
        <color rgb="FF1B1C1D"/>
      </left>
      <right style="thin">
        <color rgb="FF1B1C1D"/>
      </right>
      <top/>
      <bottom style="thin">
        <color rgb="FF1B1C1D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wrapText="1"/>
    </xf>
    <xf numFmtId="0" fontId="2" fillId="0" borderId="1" xfId="0" applyFont="1" applyBorder="1" applyAlignment="1">
      <alignment readingOrder="1"/>
    </xf>
    <xf numFmtId="0" fontId="3" fillId="0" borderId="1" xfId="0" applyFont="1" applyBorder="1" applyAlignment="1">
      <alignment readingOrder="1"/>
    </xf>
    <xf numFmtId="0" fontId="4" fillId="0" borderId="1" xfId="0" quotePrefix="1" applyFont="1" applyBorder="1" applyAlignment="1">
      <alignment readingOrder="1"/>
    </xf>
    <xf numFmtId="0" fontId="3" fillId="0" borderId="2" xfId="0" applyFont="1" applyBorder="1" applyAlignment="1">
      <alignment readingOrder="1"/>
    </xf>
    <xf numFmtId="0" fontId="4" fillId="0" borderId="2" xfId="0" quotePrefix="1" applyFont="1" applyBorder="1" applyAlignment="1">
      <alignment readingOrder="1"/>
    </xf>
    <xf numFmtId="0" fontId="0" fillId="0" borderId="3" xfId="0" applyBorder="1"/>
    <xf numFmtId="0" fontId="0" fillId="0" borderId="0" xfId="0" pivotButton="1"/>
    <xf numFmtId="2" fontId="4" fillId="0" borderId="1" xfId="0" quotePrefix="1" applyNumberFormat="1" applyFont="1" applyBorder="1" applyAlignment="1">
      <alignment readingOrder="1"/>
    </xf>
    <xf numFmtId="0" fontId="6" fillId="0" borderId="1" xfId="0" applyFont="1" applyBorder="1" applyAlignment="1">
      <alignment readingOrder="1"/>
    </xf>
    <xf numFmtId="0" fontId="7" fillId="0" borderId="1" xfId="0" applyFont="1" applyBorder="1" applyAlignment="1">
      <alignment readingOrder="1"/>
    </xf>
    <xf numFmtId="0" fontId="8" fillId="0" borderId="1" xfId="0" quotePrefix="1" applyFont="1" applyBorder="1" applyAlignment="1">
      <alignment readingOrder="1"/>
    </xf>
    <xf numFmtId="0" fontId="8" fillId="0" borderId="1" xfId="0" applyFont="1" applyBorder="1" applyAlignment="1">
      <alignment readingOrder="1"/>
    </xf>
    <xf numFmtId="0" fontId="8" fillId="0" borderId="1" xfId="0" applyNumberFormat="1" applyFont="1" applyBorder="1" applyAlignment="1">
      <alignment readingOrder="1"/>
    </xf>
    <xf numFmtId="0" fontId="5" fillId="0" borderId="0" xfId="0" applyFont="1"/>
    <xf numFmtId="10" fontId="5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  <color rgb="FFFF66CC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yVal>
            <c:numRef>
              <c:f>EmployeeData!$I$2:$I$801</c:f>
              <c:numCache>
                <c:formatCode>General</c:formatCode>
                <c:ptCount val="80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5</c:v>
                </c:pt>
                <c:pt idx="19">
                  <c:v>5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5</c:v>
                </c:pt>
                <c:pt idx="28">
                  <c:v>2</c:v>
                </c:pt>
                <c:pt idx="29">
                  <c:v>4</c:v>
                </c:pt>
                <c:pt idx="30">
                  <c:v>4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3</c:v>
                </c:pt>
                <c:pt idx="53">
                  <c:v>3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1</c:v>
                </c:pt>
                <c:pt idx="86">
                  <c:v>5</c:v>
                </c:pt>
                <c:pt idx="87">
                  <c:v>5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4</c:v>
                </c:pt>
                <c:pt idx="138">
                  <c:v>4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1</c:v>
                </c:pt>
                <c:pt idx="182">
                  <c:v>5</c:v>
                </c:pt>
                <c:pt idx="183">
                  <c:v>5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4</c:v>
                </c:pt>
                <c:pt idx="198">
                  <c:v>4</c:v>
                </c:pt>
                <c:pt idx="199">
                  <c:v>5</c:v>
                </c:pt>
                <c:pt idx="200">
                  <c:v>5</c:v>
                </c:pt>
                <c:pt idx="201">
                  <c:v>4</c:v>
                </c:pt>
                <c:pt idx="202">
                  <c:v>5</c:v>
                </c:pt>
                <c:pt idx="203">
                  <c:v>3</c:v>
                </c:pt>
                <c:pt idx="204">
                  <c:v>4</c:v>
                </c:pt>
                <c:pt idx="205">
                  <c:v>4</c:v>
                </c:pt>
                <c:pt idx="206">
                  <c:v>5</c:v>
                </c:pt>
                <c:pt idx="207">
                  <c:v>3</c:v>
                </c:pt>
                <c:pt idx="208">
                  <c:v>4</c:v>
                </c:pt>
                <c:pt idx="209">
                  <c:v>5</c:v>
                </c:pt>
                <c:pt idx="210">
                  <c:v>5</c:v>
                </c:pt>
                <c:pt idx="211">
                  <c:v>3</c:v>
                </c:pt>
                <c:pt idx="212">
                  <c:v>4</c:v>
                </c:pt>
                <c:pt idx="213">
                  <c:v>5</c:v>
                </c:pt>
                <c:pt idx="214">
                  <c:v>5</c:v>
                </c:pt>
                <c:pt idx="215">
                  <c:v>4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3</c:v>
                </c:pt>
                <c:pt idx="237">
                  <c:v>3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4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4</c:v>
                </c:pt>
                <c:pt idx="255">
                  <c:v>4</c:v>
                </c:pt>
                <c:pt idx="256">
                  <c:v>4</c:v>
                </c:pt>
                <c:pt idx="257">
                  <c:v>4</c:v>
                </c:pt>
                <c:pt idx="258">
                  <c:v>4</c:v>
                </c:pt>
                <c:pt idx="259">
                  <c:v>4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4</c:v>
                </c:pt>
                <c:pt idx="298">
                  <c:v>4</c:v>
                </c:pt>
                <c:pt idx="299">
                  <c:v>4</c:v>
                </c:pt>
                <c:pt idx="300">
                  <c:v>4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2</c:v>
                </c:pt>
                <c:pt idx="324">
                  <c:v>2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5</c:v>
                </c:pt>
                <c:pt idx="330">
                  <c:v>5</c:v>
                </c:pt>
                <c:pt idx="331">
                  <c:v>4</c:v>
                </c:pt>
                <c:pt idx="332">
                  <c:v>4</c:v>
                </c:pt>
                <c:pt idx="333">
                  <c:v>4</c:v>
                </c:pt>
                <c:pt idx="334">
                  <c:v>4</c:v>
                </c:pt>
                <c:pt idx="335">
                  <c:v>4</c:v>
                </c:pt>
                <c:pt idx="336">
                  <c:v>5</c:v>
                </c:pt>
                <c:pt idx="337">
                  <c:v>5</c:v>
                </c:pt>
                <c:pt idx="338">
                  <c:v>4</c:v>
                </c:pt>
                <c:pt idx="339">
                  <c:v>4</c:v>
                </c:pt>
                <c:pt idx="340">
                  <c:v>5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4</c:v>
                </c:pt>
                <c:pt idx="349">
                  <c:v>4</c:v>
                </c:pt>
                <c:pt idx="350">
                  <c:v>4</c:v>
                </c:pt>
                <c:pt idx="351">
                  <c:v>4</c:v>
                </c:pt>
                <c:pt idx="352">
                  <c:v>4</c:v>
                </c:pt>
                <c:pt idx="353">
                  <c:v>4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5</c:v>
                </c:pt>
                <c:pt idx="358">
                  <c:v>5</c:v>
                </c:pt>
                <c:pt idx="359">
                  <c:v>4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4</c:v>
                </c:pt>
                <c:pt idx="364">
                  <c:v>4</c:v>
                </c:pt>
                <c:pt idx="365">
                  <c:v>4</c:v>
                </c:pt>
                <c:pt idx="366">
                  <c:v>4</c:v>
                </c:pt>
                <c:pt idx="367">
                  <c:v>4</c:v>
                </c:pt>
                <c:pt idx="368">
                  <c:v>5</c:v>
                </c:pt>
                <c:pt idx="369">
                  <c:v>5</c:v>
                </c:pt>
                <c:pt idx="370">
                  <c:v>4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5</c:v>
                </c:pt>
                <c:pt idx="380">
                  <c:v>5</c:v>
                </c:pt>
                <c:pt idx="381">
                  <c:v>5</c:v>
                </c:pt>
                <c:pt idx="382">
                  <c:v>4</c:v>
                </c:pt>
                <c:pt idx="383">
                  <c:v>4</c:v>
                </c:pt>
                <c:pt idx="384">
                  <c:v>4</c:v>
                </c:pt>
                <c:pt idx="385">
                  <c:v>4</c:v>
                </c:pt>
                <c:pt idx="386">
                  <c:v>4</c:v>
                </c:pt>
                <c:pt idx="387">
                  <c:v>4</c:v>
                </c:pt>
                <c:pt idx="388">
                  <c:v>4</c:v>
                </c:pt>
                <c:pt idx="389">
                  <c:v>4</c:v>
                </c:pt>
                <c:pt idx="390">
                  <c:v>4</c:v>
                </c:pt>
                <c:pt idx="391">
                  <c:v>4</c:v>
                </c:pt>
                <c:pt idx="392">
                  <c:v>4</c:v>
                </c:pt>
                <c:pt idx="393">
                  <c:v>4</c:v>
                </c:pt>
                <c:pt idx="394">
                  <c:v>4</c:v>
                </c:pt>
                <c:pt idx="395">
                  <c:v>4</c:v>
                </c:pt>
                <c:pt idx="396">
                  <c:v>5</c:v>
                </c:pt>
                <c:pt idx="397">
                  <c:v>3</c:v>
                </c:pt>
                <c:pt idx="398">
                  <c:v>2</c:v>
                </c:pt>
                <c:pt idx="399">
                  <c:v>5</c:v>
                </c:pt>
                <c:pt idx="400">
                  <c:v>3</c:v>
                </c:pt>
                <c:pt idx="401">
                  <c:v>5</c:v>
                </c:pt>
                <c:pt idx="402">
                  <c:v>3</c:v>
                </c:pt>
                <c:pt idx="403">
                  <c:v>3</c:v>
                </c:pt>
                <c:pt idx="404">
                  <c:v>5</c:v>
                </c:pt>
                <c:pt idx="405">
                  <c:v>3</c:v>
                </c:pt>
                <c:pt idx="406">
                  <c:v>5</c:v>
                </c:pt>
                <c:pt idx="407">
                  <c:v>4</c:v>
                </c:pt>
                <c:pt idx="408">
                  <c:v>5</c:v>
                </c:pt>
                <c:pt idx="409">
                  <c:v>3</c:v>
                </c:pt>
                <c:pt idx="410">
                  <c:v>5</c:v>
                </c:pt>
                <c:pt idx="411">
                  <c:v>3</c:v>
                </c:pt>
                <c:pt idx="412">
                  <c:v>3</c:v>
                </c:pt>
                <c:pt idx="413">
                  <c:v>5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4</c:v>
                </c:pt>
                <c:pt idx="419">
                  <c:v>4</c:v>
                </c:pt>
                <c:pt idx="420">
                  <c:v>4</c:v>
                </c:pt>
                <c:pt idx="421">
                  <c:v>4</c:v>
                </c:pt>
                <c:pt idx="422">
                  <c:v>4</c:v>
                </c:pt>
                <c:pt idx="423">
                  <c:v>4</c:v>
                </c:pt>
                <c:pt idx="424">
                  <c:v>4</c:v>
                </c:pt>
                <c:pt idx="425">
                  <c:v>4</c:v>
                </c:pt>
                <c:pt idx="426">
                  <c:v>4</c:v>
                </c:pt>
                <c:pt idx="427">
                  <c:v>4</c:v>
                </c:pt>
                <c:pt idx="428">
                  <c:v>4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4</c:v>
                </c:pt>
                <c:pt idx="439">
                  <c:v>4</c:v>
                </c:pt>
                <c:pt idx="440">
                  <c:v>4</c:v>
                </c:pt>
                <c:pt idx="441">
                  <c:v>4</c:v>
                </c:pt>
                <c:pt idx="442">
                  <c:v>4</c:v>
                </c:pt>
                <c:pt idx="443">
                  <c:v>4</c:v>
                </c:pt>
                <c:pt idx="444">
                  <c:v>4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2</c:v>
                </c:pt>
                <c:pt idx="450">
                  <c:v>4</c:v>
                </c:pt>
                <c:pt idx="451">
                  <c:v>4</c:v>
                </c:pt>
                <c:pt idx="452">
                  <c:v>4</c:v>
                </c:pt>
                <c:pt idx="453">
                  <c:v>4</c:v>
                </c:pt>
                <c:pt idx="454">
                  <c:v>4</c:v>
                </c:pt>
                <c:pt idx="455">
                  <c:v>4</c:v>
                </c:pt>
                <c:pt idx="456">
                  <c:v>4</c:v>
                </c:pt>
                <c:pt idx="457">
                  <c:v>4</c:v>
                </c:pt>
                <c:pt idx="458">
                  <c:v>4</c:v>
                </c:pt>
                <c:pt idx="459">
                  <c:v>4</c:v>
                </c:pt>
                <c:pt idx="460">
                  <c:v>4</c:v>
                </c:pt>
                <c:pt idx="461">
                  <c:v>4</c:v>
                </c:pt>
                <c:pt idx="462">
                  <c:v>4</c:v>
                </c:pt>
                <c:pt idx="463">
                  <c:v>4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4</c:v>
                </c:pt>
                <c:pt idx="475">
                  <c:v>4</c:v>
                </c:pt>
                <c:pt idx="476">
                  <c:v>4</c:v>
                </c:pt>
                <c:pt idx="477">
                  <c:v>4</c:v>
                </c:pt>
                <c:pt idx="478">
                  <c:v>4</c:v>
                </c:pt>
                <c:pt idx="479">
                  <c:v>4</c:v>
                </c:pt>
                <c:pt idx="480">
                  <c:v>4</c:v>
                </c:pt>
                <c:pt idx="481">
                  <c:v>4</c:v>
                </c:pt>
                <c:pt idx="482">
                  <c:v>2</c:v>
                </c:pt>
                <c:pt idx="483">
                  <c:v>2</c:v>
                </c:pt>
                <c:pt idx="484">
                  <c:v>2</c:v>
                </c:pt>
                <c:pt idx="485">
                  <c:v>2</c:v>
                </c:pt>
                <c:pt idx="486">
                  <c:v>2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2</c:v>
                </c:pt>
                <c:pt idx="491">
                  <c:v>2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4</c:v>
                </c:pt>
                <c:pt idx="503">
                  <c:v>4</c:v>
                </c:pt>
                <c:pt idx="504">
                  <c:v>4</c:v>
                </c:pt>
                <c:pt idx="505">
                  <c:v>4</c:v>
                </c:pt>
                <c:pt idx="506">
                  <c:v>4</c:v>
                </c:pt>
                <c:pt idx="507">
                  <c:v>4</c:v>
                </c:pt>
                <c:pt idx="508">
                  <c:v>4</c:v>
                </c:pt>
                <c:pt idx="509">
                  <c:v>4</c:v>
                </c:pt>
                <c:pt idx="510">
                  <c:v>4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4</c:v>
                </c:pt>
                <c:pt idx="528">
                  <c:v>4</c:v>
                </c:pt>
                <c:pt idx="529">
                  <c:v>2</c:v>
                </c:pt>
                <c:pt idx="530">
                  <c:v>2</c:v>
                </c:pt>
                <c:pt idx="531">
                  <c:v>2</c:v>
                </c:pt>
                <c:pt idx="532">
                  <c:v>2</c:v>
                </c:pt>
                <c:pt idx="533">
                  <c:v>2</c:v>
                </c:pt>
                <c:pt idx="534">
                  <c:v>2</c:v>
                </c:pt>
                <c:pt idx="535">
                  <c:v>2</c:v>
                </c:pt>
                <c:pt idx="536">
                  <c:v>1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3</c:v>
                </c:pt>
                <c:pt idx="546">
                  <c:v>4</c:v>
                </c:pt>
                <c:pt idx="547">
                  <c:v>4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4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3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4</c:v>
                </c:pt>
                <c:pt idx="575">
                  <c:v>4</c:v>
                </c:pt>
                <c:pt idx="576">
                  <c:v>3</c:v>
                </c:pt>
                <c:pt idx="577">
                  <c:v>2</c:v>
                </c:pt>
                <c:pt idx="578">
                  <c:v>2</c:v>
                </c:pt>
                <c:pt idx="579">
                  <c:v>2</c:v>
                </c:pt>
                <c:pt idx="580">
                  <c:v>2</c:v>
                </c:pt>
                <c:pt idx="581">
                  <c:v>2</c:v>
                </c:pt>
                <c:pt idx="582">
                  <c:v>2</c:v>
                </c:pt>
                <c:pt idx="583">
                  <c:v>2</c:v>
                </c:pt>
                <c:pt idx="584">
                  <c:v>4</c:v>
                </c:pt>
                <c:pt idx="585">
                  <c:v>4</c:v>
                </c:pt>
                <c:pt idx="586">
                  <c:v>4</c:v>
                </c:pt>
                <c:pt idx="587">
                  <c:v>4</c:v>
                </c:pt>
                <c:pt idx="588">
                  <c:v>4</c:v>
                </c:pt>
                <c:pt idx="589">
                  <c:v>4</c:v>
                </c:pt>
                <c:pt idx="590">
                  <c:v>4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4</c:v>
                </c:pt>
                <c:pt idx="602">
                  <c:v>4</c:v>
                </c:pt>
                <c:pt idx="603">
                  <c:v>3</c:v>
                </c:pt>
                <c:pt idx="604">
                  <c:v>4</c:v>
                </c:pt>
                <c:pt idx="605">
                  <c:v>4</c:v>
                </c:pt>
                <c:pt idx="606">
                  <c:v>4</c:v>
                </c:pt>
                <c:pt idx="607">
                  <c:v>3</c:v>
                </c:pt>
                <c:pt idx="608">
                  <c:v>2</c:v>
                </c:pt>
                <c:pt idx="609">
                  <c:v>3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3</c:v>
                </c:pt>
                <c:pt idx="614">
                  <c:v>2</c:v>
                </c:pt>
                <c:pt idx="615">
                  <c:v>3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3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3</c:v>
                </c:pt>
                <c:pt idx="631">
                  <c:v>3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2</c:v>
                </c:pt>
                <c:pt idx="636">
                  <c:v>2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3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3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3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2</c:v>
                </c:pt>
                <c:pt idx="667">
                  <c:v>2</c:v>
                </c:pt>
                <c:pt idx="668">
                  <c:v>2</c:v>
                </c:pt>
                <c:pt idx="669">
                  <c:v>2</c:v>
                </c:pt>
                <c:pt idx="670">
                  <c:v>2</c:v>
                </c:pt>
                <c:pt idx="671">
                  <c:v>2</c:v>
                </c:pt>
                <c:pt idx="672">
                  <c:v>2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2</c:v>
                </c:pt>
                <c:pt idx="701">
                  <c:v>2</c:v>
                </c:pt>
                <c:pt idx="702">
                  <c:v>2</c:v>
                </c:pt>
                <c:pt idx="703">
                  <c:v>2</c:v>
                </c:pt>
                <c:pt idx="704">
                  <c:v>2</c:v>
                </c:pt>
                <c:pt idx="705">
                  <c:v>2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2</c:v>
                </c:pt>
                <c:pt idx="725">
                  <c:v>3</c:v>
                </c:pt>
                <c:pt idx="726">
                  <c:v>2</c:v>
                </c:pt>
                <c:pt idx="727">
                  <c:v>2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2</c:v>
                </c:pt>
                <c:pt idx="745">
                  <c:v>2</c:v>
                </c:pt>
                <c:pt idx="746">
                  <c:v>2</c:v>
                </c:pt>
                <c:pt idx="747">
                  <c:v>2</c:v>
                </c:pt>
                <c:pt idx="748">
                  <c:v>2</c:v>
                </c:pt>
                <c:pt idx="749">
                  <c:v>2</c:v>
                </c:pt>
                <c:pt idx="750">
                  <c:v>3</c:v>
                </c:pt>
                <c:pt idx="751">
                  <c:v>3</c:v>
                </c:pt>
                <c:pt idx="752">
                  <c:v>2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2</c:v>
                </c:pt>
                <c:pt idx="757">
                  <c:v>2</c:v>
                </c:pt>
                <c:pt idx="758">
                  <c:v>2</c:v>
                </c:pt>
                <c:pt idx="759">
                  <c:v>2</c:v>
                </c:pt>
                <c:pt idx="760">
                  <c:v>2</c:v>
                </c:pt>
                <c:pt idx="761">
                  <c:v>2</c:v>
                </c:pt>
                <c:pt idx="762">
                  <c:v>3</c:v>
                </c:pt>
                <c:pt idx="763">
                  <c:v>2</c:v>
                </c:pt>
                <c:pt idx="764">
                  <c:v>2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2</c:v>
                </c:pt>
                <c:pt idx="773">
                  <c:v>2</c:v>
                </c:pt>
                <c:pt idx="774">
                  <c:v>2</c:v>
                </c:pt>
                <c:pt idx="775">
                  <c:v>2</c:v>
                </c:pt>
                <c:pt idx="776">
                  <c:v>2</c:v>
                </c:pt>
                <c:pt idx="777">
                  <c:v>2</c:v>
                </c:pt>
                <c:pt idx="778">
                  <c:v>2</c:v>
                </c:pt>
                <c:pt idx="779">
                  <c:v>2</c:v>
                </c:pt>
                <c:pt idx="780">
                  <c:v>2</c:v>
                </c:pt>
                <c:pt idx="781">
                  <c:v>3</c:v>
                </c:pt>
                <c:pt idx="782">
                  <c:v>3</c:v>
                </c:pt>
                <c:pt idx="783">
                  <c:v>2</c:v>
                </c:pt>
                <c:pt idx="784">
                  <c:v>2</c:v>
                </c:pt>
                <c:pt idx="785">
                  <c:v>3</c:v>
                </c:pt>
                <c:pt idx="786">
                  <c:v>2</c:v>
                </c:pt>
                <c:pt idx="787">
                  <c:v>2</c:v>
                </c:pt>
                <c:pt idx="788">
                  <c:v>2</c:v>
                </c:pt>
                <c:pt idx="789">
                  <c:v>3</c:v>
                </c:pt>
                <c:pt idx="790">
                  <c:v>2</c:v>
                </c:pt>
                <c:pt idx="791">
                  <c:v>3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2F-4DD9-BD18-5F2FA3503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750919"/>
        <c:axId val="115758087"/>
      </c:scatterChart>
      <c:valAx>
        <c:axId val="115750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58087"/>
        <c:crosses val="autoZero"/>
        <c:crossBetween val="midCat"/>
      </c:valAx>
      <c:valAx>
        <c:axId val="115758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50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Change in Average Salary (2024 vs. 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6284758398105"/>
          <c:y val="0.27733358771964856"/>
          <c:w val="0.79289625633270833"/>
          <c:h val="0.4124696622134271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Analysis!$C$20</c:f>
              <c:strCache>
                <c:ptCount val="1"/>
                <c:pt idx="0">
                  <c:v>Salary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0650-4CF9-A63E-E80BCAFAF6CA}"/>
              </c:ext>
            </c:extLst>
          </c:dPt>
          <c:dLbls>
            <c:dLbl>
              <c:idx val="1"/>
              <c:spPr>
                <a:solidFill>
                  <a:schemeClr val="bg1">
                    <a:lumMod val="8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650-4CF9-A63E-E80BCAFAF6CA}"/>
                </c:ext>
              </c:extLst>
            </c:dLbl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Analysis!$B$21:$B$22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Analysis!$C$21:$C$22</c:f>
              <c:numCache>
                <c:formatCode>0.00</c:formatCode>
                <c:ptCount val="2"/>
                <c:pt idx="0">
                  <c:v>40946000</c:v>
                </c:pt>
                <c:pt idx="1">
                  <c:v>31406000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8-43CF-9299-A60FDFDC4829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598831623"/>
        <c:axId val="1598859783"/>
      </c:barChart>
      <c:catAx>
        <c:axId val="1598831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859783"/>
        <c:crosses val="autoZero"/>
        <c:auto val="1"/>
        <c:lblAlgn val="ctr"/>
        <c:lblOffset val="100"/>
        <c:noMultiLvlLbl val="0"/>
      </c:catAx>
      <c:valAx>
        <c:axId val="1598859783"/>
        <c:scaling>
          <c:orientation val="minMax"/>
        </c:scaling>
        <c:delete val="0"/>
        <c:axPos val="b"/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831623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[krishna.xlsx]Solution !PivotTable1</c:name>
    <c:fmtId val="1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bg1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rgbClr val="637CEF">
                    <a:satMod val="103000"/>
                    <a:lumMod val="102000"/>
                    <a:tint val="94000"/>
                  </a:srgbClr>
                </a:gs>
                <a:gs pos="50000">
                  <a:srgbClr val="637CEF">
                    <a:satMod val="110000"/>
                    <a:lumMod val="100000"/>
                    <a:shade val="100000"/>
                  </a:srgbClr>
                </a:gs>
                <a:gs pos="100000">
                  <a:srgbClr val="637CEF">
                    <a:lumMod val="99000"/>
                    <a:satMod val="120000"/>
                    <a:shade val="78000"/>
                  </a:srgbClr>
                </a:gs>
              </a:gsLst>
              <a:lin ang="5400000" scaled="0"/>
            </a:gradFill>
            <a:ln w="9525">
              <a:solidFill>
                <a:srgbClr val="637CEF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rgbClr val="637CEF">
                  <a:satMod val="103000"/>
                  <a:lumMod val="102000"/>
                  <a:tint val="94000"/>
                </a:srgbClr>
              </a:gs>
              <a:gs pos="50000">
                <a:srgbClr val="637CEF">
                  <a:satMod val="110000"/>
                  <a:lumMod val="100000"/>
                  <a:shade val="100000"/>
                </a:srgbClr>
              </a:gs>
              <a:gs pos="100000">
                <a:srgbClr val="637CEF">
                  <a:lumMod val="99000"/>
                  <a:satMod val="120000"/>
                  <a:shade val="78000"/>
                </a:srgb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rgbClr val="E3008C">
                    <a:satMod val="103000"/>
                    <a:lumMod val="102000"/>
                    <a:tint val="94000"/>
                  </a:srgbClr>
                </a:gs>
                <a:gs pos="50000">
                  <a:srgbClr val="E3008C">
                    <a:satMod val="110000"/>
                    <a:lumMod val="100000"/>
                    <a:shade val="100000"/>
                  </a:srgbClr>
                </a:gs>
                <a:gs pos="100000">
                  <a:srgbClr val="E3008C">
                    <a:lumMod val="99000"/>
                    <a:satMod val="120000"/>
                    <a:shade val="78000"/>
                  </a:srgbClr>
                </a:gs>
              </a:gsLst>
              <a:lin ang="5400000" scaled="0"/>
            </a:gradFill>
            <a:ln w="9525">
              <a:solidFill>
                <a:srgbClr val="E3008C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rgbClr val="637CEF">
                  <a:satMod val="103000"/>
                  <a:lumMod val="102000"/>
                  <a:tint val="94000"/>
                </a:srgbClr>
              </a:gs>
              <a:gs pos="50000">
                <a:srgbClr val="637CEF">
                  <a:satMod val="110000"/>
                  <a:lumMod val="100000"/>
                  <a:shade val="100000"/>
                </a:srgbClr>
              </a:gs>
              <a:gs pos="100000">
                <a:srgbClr val="637CEF">
                  <a:lumMod val="99000"/>
                  <a:satMod val="120000"/>
                  <a:shade val="78000"/>
                </a:srgb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4974591326539106"/>
          <c:y val="0.16268551695245434"/>
          <c:w val="0.5993066491688539"/>
          <c:h val="0.596686050286117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'Solution '!$B$3:$B$4</c:f>
              <c:strCache>
                <c:ptCount val="1"/>
                <c:pt idx="0">
                  <c:v>Dataverse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'Solution '!$A$5:$A$15</c:f>
              <c:strCache>
                <c:ptCount val="10"/>
                <c:pt idx="0">
                  <c:v>Manufacturing and operations</c:v>
                </c:pt>
                <c:pt idx="1">
                  <c:v>IT &amp; Systems</c:v>
                </c:pt>
                <c:pt idx="2">
                  <c:v>Research &amp; Department</c:v>
                </c:pt>
                <c:pt idx="3">
                  <c:v>Sales &amp; Marketing</c:v>
                </c:pt>
                <c:pt idx="4">
                  <c:v>Customer Experience</c:v>
                </c:pt>
                <c:pt idx="5">
                  <c:v>Finance</c:v>
                </c:pt>
                <c:pt idx="6">
                  <c:v>Human Resources</c:v>
                </c:pt>
                <c:pt idx="7">
                  <c:v>Quality Assurance</c:v>
                </c:pt>
                <c:pt idx="8">
                  <c:v>Administrative Services</c:v>
                </c:pt>
                <c:pt idx="9">
                  <c:v>Business Strategy</c:v>
                </c:pt>
              </c:strCache>
            </c:strRef>
          </c:cat>
          <c:val>
            <c:numRef>
              <c:f>'Solution '!$B$5:$B$15</c:f>
              <c:numCache>
                <c:formatCode>General</c:formatCode>
                <c:ptCount val="10"/>
                <c:pt idx="0">
                  <c:v>94</c:v>
                </c:pt>
                <c:pt idx="1">
                  <c:v>39</c:v>
                </c:pt>
                <c:pt idx="2">
                  <c:v>39</c:v>
                </c:pt>
                <c:pt idx="3">
                  <c:v>50</c:v>
                </c:pt>
                <c:pt idx="4">
                  <c:v>38</c:v>
                </c:pt>
                <c:pt idx="5">
                  <c:v>40</c:v>
                </c:pt>
                <c:pt idx="6">
                  <c:v>17</c:v>
                </c:pt>
                <c:pt idx="7">
                  <c:v>28</c:v>
                </c:pt>
                <c:pt idx="8">
                  <c:v>16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C-43C8-B045-A33F6B41C5A5}"/>
            </c:ext>
          </c:extLst>
        </c:ser>
        <c:ser>
          <c:idx val="1"/>
          <c:order val="1"/>
          <c:tx>
            <c:strRef>
              <c:f>'Solution '!$C$3:$C$4</c:f>
              <c:strCache>
                <c:ptCount val="1"/>
                <c:pt idx="0">
                  <c:v>Technova</c:v>
                </c:pt>
              </c:strCache>
            </c:strRef>
          </c:tx>
          <c:spPr>
            <a:gradFill rotWithShape="1">
              <a:gsLst>
                <a:gs pos="0">
                  <a:srgbClr val="E3008C">
                    <a:satMod val="103000"/>
                    <a:lumMod val="102000"/>
                    <a:tint val="94000"/>
                  </a:srgbClr>
                </a:gs>
                <a:gs pos="50000">
                  <a:srgbClr val="E3008C">
                    <a:satMod val="110000"/>
                    <a:lumMod val="100000"/>
                    <a:shade val="100000"/>
                  </a:srgbClr>
                </a:gs>
                <a:gs pos="100000">
                  <a:srgbClr val="E3008C">
                    <a:lumMod val="99000"/>
                    <a:satMod val="120000"/>
                    <a:shade val="78000"/>
                  </a:srgb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'Solution '!$A$5:$A$15</c:f>
              <c:strCache>
                <c:ptCount val="10"/>
                <c:pt idx="0">
                  <c:v>Manufacturing and operations</c:v>
                </c:pt>
                <c:pt idx="1">
                  <c:v>IT &amp; Systems</c:v>
                </c:pt>
                <c:pt idx="2">
                  <c:v>Research &amp; Department</c:v>
                </c:pt>
                <c:pt idx="3">
                  <c:v>Sales &amp; Marketing</c:v>
                </c:pt>
                <c:pt idx="4">
                  <c:v>Customer Experience</c:v>
                </c:pt>
                <c:pt idx="5">
                  <c:v>Finance</c:v>
                </c:pt>
                <c:pt idx="6">
                  <c:v>Human Resources</c:v>
                </c:pt>
                <c:pt idx="7">
                  <c:v>Quality Assurance</c:v>
                </c:pt>
                <c:pt idx="8">
                  <c:v>Administrative Services</c:v>
                </c:pt>
                <c:pt idx="9">
                  <c:v>Business Strategy</c:v>
                </c:pt>
              </c:strCache>
            </c:strRef>
          </c:cat>
          <c:val>
            <c:numRef>
              <c:f>'Solution '!$C$5:$C$15</c:f>
              <c:numCache>
                <c:formatCode>General</c:formatCode>
                <c:ptCount val="10"/>
                <c:pt idx="0">
                  <c:v>79</c:v>
                </c:pt>
                <c:pt idx="1">
                  <c:v>60</c:v>
                </c:pt>
                <c:pt idx="2">
                  <c:v>57</c:v>
                </c:pt>
                <c:pt idx="3">
                  <c:v>43</c:v>
                </c:pt>
                <c:pt idx="4">
                  <c:v>52</c:v>
                </c:pt>
                <c:pt idx="5">
                  <c:v>37</c:v>
                </c:pt>
                <c:pt idx="6">
                  <c:v>44</c:v>
                </c:pt>
                <c:pt idx="7">
                  <c:v>23</c:v>
                </c:pt>
                <c:pt idx="8">
                  <c:v>16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87-487A-B8E3-9F8FBA14A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6419207"/>
        <c:axId val="1832523272"/>
      </c:barChart>
      <c:catAx>
        <c:axId val="466419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523272"/>
        <c:crosses val="autoZero"/>
        <c:auto val="1"/>
        <c:lblAlgn val="ctr"/>
        <c:lblOffset val="100"/>
        <c:noMultiLvlLbl val="0"/>
      </c:catAx>
      <c:valAx>
        <c:axId val="1832523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419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omic Sans MS" panose="030F0702030302020204" pitchFamily="66" charset="0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omic Sans MS" panose="030F0702030302020204" pitchFamily="66" charset="0"/>
              </a:rPr>
              <a:t>Retention Count by Employee Rating</a:t>
            </a:r>
            <a:endParaRPr lang="en-US" baseline="0">
              <a:latin typeface="Comic Sans MS" panose="030F0702030302020204" pitchFamily="66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omic Sans MS" panose="030F0702030302020204" pitchFamily="66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5319609138693991"/>
          <c:y val="0.30128954732293894"/>
          <c:w val="0.92651970607882428"/>
          <c:h val="0.61648318646689537"/>
        </c:manualLayout>
      </c:layout>
      <c:pieChart>
        <c:varyColors val="1"/>
        <c:ser>
          <c:idx val="0"/>
          <c:order val="0"/>
          <c:tx>
            <c:strRef>
              <c:f>'Solution '!$C$20</c:f>
              <c:strCache>
                <c:ptCount val="1"/>
                <c:pt idx="0">
                  <c:v>Count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DFD-4492-B959-8DFAC4B8BB72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DFD-4492-B959-8DFAC4B8BB72}"/>
              </c:ext>
            </c:extLst>
          </c:dPt>
          <c:dPt>
            <c:idx val="2"/>
            <c:bubble3D val="0"/>
            <c:spPr>
              <a:solidFill>
                <a:srgbClr val="FF3399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DFD-4492-B959-8DFAC4B8BB72}"/>
              </c:ext>
            </c:extLst>
          </c:dPt>
          <c:dLbls>
            <c:dLbl>
              <c:idx val="0"/>
              <c:spPr>
                <a:solidFill>
                  <a:schemeClr val="accent1">
                    <a:lumMod val="5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DFD-4492-B959-8DFAC4B8BB72}"/>
                </c:ext>
              </c:extLst>
            </c:dLbl>
            <c:dLbl>
              <c:idx val="1"/>
              <c:layout>
                <c:manualLayout>
                  <c:x val="-0.13530657114754455"/>
                  <c:y val="-3.4342474432075394E-2"/>
                </c:manualLayout>
              </c:layout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FD-4492-B959-8DFAC4B8BB72}"/>
                </c:ext>
              </c:extLst>
            </c:dLbl>
            <c:dLbl>
              <c:idx val="2"/>
              <c:layout>
                <c:manualLayout>
                  <c:x val="0.1143412809871712"/>
                  <c:y val="-0.12607928319304915"/>
                </c:manualLayout>
              </c:layout>
              <c:spPr>
                <a:solidFill>
                  <a:schemeClr val="accent1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DFD-4492-B959-8DFAC4B8BB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'Solution '!$B$21:$B$23</c:f>
              <c:strCache>
                <c:ptCount val="3"/>
                <c:pt idx="0">
                  <c:v>Retained A-Rated</c:v>
                </c:pt>
                <c:pt idx="1">
                  <c:v>Retained C-Rated</c:v>
                </c:pt>
                <c:pt idx="2">
                  <c:v>Retained B-Rated</c:v>
                </c:pt>
              </c:strCache>
            </c:strRef>
          </c:cat>
          <c:val>
            <c:numRef>
              <c:f>'Solution '!$C$21:$C$23</c:f>
              <c:numCache>
                <c:formatCode>General</c:formatCode>
                <c:ptCount val="3"/>
                <c:pt idx="0">
                  <c:v>109</c:v>
                </c:pt>
                <c:pt idx="1">
                  <c:v>189</c:v>
                </c:pt>
                <c:pt idx="2">
                  <c:v>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FD-4492-B959-8DFAC4B8BB7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087839020122487"/>
          <c:y val="0.19957140322187555"/>
          <c:w val="0.38935454943132108"/>
          <c:h val="0.65534921323297157"/>
        </c:manualLayout>
      </c:layout>
      <c:doughnutChart>
        <c:varyColors val="1"/>
        <c:ser>
          <c:idx val="0"/>
          <c:order val="0"/>
          <c:tx>
            <c:strRef>
              <c:f>Analysis!$C$24</c:f>
              <c:strCache>
                <c:ptCount val="1"/>
                <c:pt idx="0">
                  <c:v>Employee 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rgbClr val="637CEF">
                      <a:satMod val="103000"/>
                      <a:lumMod val="102000"/>
                      <a:tint val="94000"/>
                    </a:srgbClr>
                  </a:gs>
                  <a:gs pos="50000">
                    <a:srgbClr val="637CEF">
                      <a:satMod val="110000"/>
                      <a:lumMod val="100000"/>
                      <a:shade val="100000"/>
                    </a:srgbClr>
                  </a:gs>
                  <a:gs pos="100000">
                    <a:srgbClr val="637CEF">
                      <a:lumMod val="99000"/>
                      <a:satMod val="120000"/>
                      <a:shade val="78000"/>
                    </a:srgb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9C-49EE-9ECE-C87682D50F5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rgbClr val="E3008C">
                      <a:satMod val="103000"/>
                      <a:lumMod val="102000"/>
                      <a:tint val="94000"/>
                    </a:srgbClr>
                  </a:gs>
                  <a:gs pos="50000">
                    <a:srgbClr val="E3008C">
                      <a:satMod val="110000"/>
                      <a:lumMod val="100000"/>
                      <a:shade val="100000"/>
                    </a:srgbClr>
                  </a:gs>
                  <a:gs pos="100000">
                    <a:srgbClr val="E3008C">
                      <a:lumMod val="99000"/>
                      <a:satMod val="120000"/>
                      <a:shade val="78000"/>
                    </a:srgb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39C-49EE-9ECE-C87682D50F5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rgbClr val="2AA0A4">
                      <a:satMod val="103000"/>
                      <a:lumMod val="102000"/>
                      <a:tint val="94000"/>
                    </a:srgbClr>
                  </a:gs>
                  <a:gs pos="50000">
                    <a:srgbClr val="2AA0A4">
                      <a:satMod val="110000"/>
                      <a:lumMod val="100000"/>
                      <a:shade val="100000"/>
                    </a:srgbClr>
                  </a:gs>
                  <a:gs pos="100000">
                    <a:srgbClr val="2AA0A4">
                      <a:lumMod val="99000"/>
                      <a:satMod val="120000"/>
                      <a:shade val="78000"/>
                    </a:srgb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39C-49EE-9ECE-C87682D50F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Analysis!$B$25:$B$27</c:f>
              <c:strCache>
                <c:ptCount val="3"/>
                <c:pt idx="0">
                  <c:v>Senior (&gt;15 Yrs)</c:v>
                </c:pt>
                <c:pt idx="1">
                  <c:v>Mid-Level (6-15 Yrs)</c:v>
                </c:pt>
                <c:pt idx="2">
                  <c:v>Junior (&lt;=5 Yrs)</c:v>
                </c:pt>
              </c:strCache>
            </c:strRef>
          </c:cat>
          <c:val>
            <c:numRef>
              <c:f>Analysis!$C$25:$C$27</c:f>
              <c:numCache>
                <c:formatCode>General</c:formatCode>
                <c:ptCount val="3"/>
                <c:pt idx="0">
                  <c:v>331</c:v>
                </c:pt>
                <c:pt idx="1">
                  <c:v>307</c:v>
                </c:pt>
                <c:pt idx="2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9C-49EE-9ECE-C87682D50F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Comic Sans MS" panose="030F0702030302020204" pitchFamily="66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19527632296864"/>
          <c:y val="0.18052480015697708"/>
          <c:w val="0.7922255597672625"/>
          <c:h val="0.657965092526802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Analysis!$C$29</c:f>
              <c:strCache>
                <c:ptCount val="1"/>
                <c:pt idx="0">
                  <c:v>Output-to-Cost Ratio</c:v>
                </c:pt>
              </c:strCache>
            </c:strRef>
          </c:tx>
          <c:spPr>
            <a:noFill/>
            <a:ln w="9525" cap="flat" cmpd="sng" algn="ctr">
              <a:solidFill>
                <a:srgbClr val="637CEF"/>
              </a:solidFill>
              <a:miter lim="800000"/>
            </a:ln>
            <a:effectLst>
              <a:glow rad="63500">
                <a:srgbClr val="637CEF">
                  <a:satMod val="175000"/>
                  <a:alpha val="25000"/>
                </a:srgbClr>
              </a:glo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9525" cap="flat" cmpd="sng" algn="ctr">
                <a:solidFill>
                  <a:srgbClr val="637CEF"/>
                </a:solidFill>
                <a:miter lim="800000"/>
              </a:ln>
              <a:effectLst>
                <a:glow rad="63500">
                  <a:srgbClr val="637CEF">
                    <a:satMod val="175000"/>
                    <a:alpha val="25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2-CBCB-4C3C-A28B-A06471FC1ED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 w="9525" cap="flat" cmpd="sng" algn="ctr">
                <a:solidFill>
                  <a:srgbClr val="637CEF"/>
                </a:solidFill>
                <a:miter lim="800000"/>
              </a:ln>
              <a:effectLst>
                <a:glow rad="63500">
                  <a:srgbClr val="637CEF">
                    <a:satMod val="175000"/>
                    <a:alpha val="25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CBCB-4C3C-A28B-A06471FC1ED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131086D-304B-416F-B028-432C911871B0}" type="VALUE">
                      <a:rPr lang="en-US">
                        <a:solidFill>
                          <a:schemeClr val="bg2">
                            <a:lumMod val="25000"/>
                          </a:schemeClr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BCB-4C3C-A28B-A06471FC1ED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4BB53FD-5AD3-4963-8F7C-440A33E866D3}" type="VALUE">
                      <a:rPr lang="en-US" b="1">
                        <a:solidFill>
                          <a:schemeClr val="bg2">
                            <a:lumMod val="25000"/>
                          </a:schemeClr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BCB-4C3C-A28B-A06471FC1EDF}"/>
                </c:ext>
              </c:extLst>
            </c:dLbl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Analysis!$B$30:$B$31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Analysis!$C$30:$C$31</c:f>
              <c:numCache>
                <c:formatCode>General</c:formatCode>
                <c:ptCount val="2"/>
                <c:pt idx="0">
                  <c:v>4.6866604796561324E-5</c:v>
                </c:pt>
                <c:pt idx="1">
                  <c:v>4.8398395211106157E-5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91-4A98-AEBB-FDF73D4DEF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40"/>
        <c:axId val="128698375"/>
        <c:axId val="457048583"/>
      </c:barChart>
      <c:catAx>
        <c:axId val="128698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baseline="0"/>
                  <a:t>Implementation Phase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048583"/>
        <c:crosses val="autoZero"/>
        <c:auto val="1"/>
        <c:lblAlgn val="ctr"/>
        <c:lblOffset val="100"/>
        <c:noMultiLvlLbl val="0"/>
      </c:catAx>
      <c:valAx>
        <c:axId val="4570485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baseline="0"/>
                  <a:t>Output-to-Cost Ratio : Before vs. After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4.0293999690588875E-2"/>
              <c:y val="0.216359242667034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98375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803149606299212E-2"/>
          <c:y val="0.13330863367213813"/>
          <c:w val="0.89653018372703408"/>
          <c:h val="0.7068973129368584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rgbClr val="637CEF">
                      <a:satMod val="103000"/>
                      <a:lumMod val="102000"/>
                      <a:tint val="94000"/>
                    </a:srgbClr>
                  </a:gs>
                  <a:gs pos="50000">
                    <a:srgbClr val="637CEF">
                      <a:satMod val="110000"/>
                      <a:lumMod val="100000"/>
                      <a:shade val="100000"/>
                    </a:srgbClr>
                  </a:gs>
                  <a:gs pos="100000">
                    <a:srgbClr val="637CEF">
                      <a:lumMod val="99000"/>
                      <a:satMod val="120000"/>
                      <a:shade val="78000"/>
                    </a:srgbClr>
                  </a:gs>
                </a:gsLst>
                <a:lin ang="5400000" scaled="0"/>
              </a:gradFill>
              <a:ln w="9525" cap="rnd">
                <a:solidFill>
                  <a:srgbClr val="637CEF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EmployeeData!$I$2:$I$801</c:f>
              <c:numCache>
                <c:formatCode>General</c:formatCode>
                <c:ptCount val="80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5</c:v>
                </c:pt>
                <c:pt idx="19">
                  <c:v>5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5</c:v>
                </c:pt>
                <c:pt idx="28">
                  <c:v>2</c:v>
                </c:pt>
                <c:pt idx="29">
                  <c:v>4</c:v>
                </c:pt>
                <c:pt idx="30">
                  <c:v>4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3</c:v>
                </c:pt>
                <c:pt idx="53">
                  <c:v>3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1</c:v>
                </c:pt>
                <c:pt idx="86">
                  <c:v>5</c:v>
                </c:pt>
                <c:pt idx="87">
                  <c:v>5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4</c:v>
                </c:pt>
                <c:pt idx="138">
                  <c:v>4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1</c:v>
                </c:pt>
                <c:pt idx="182">
                  <c:v>5</c:v>
                </c:pt>
                <c:pt idx="183">
                  <c:v>5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4</c:v>
                </c:pt>
                <c:pt idx="198">
                  <c:v>4</c:v>
                </c:pt>
                <c:pt idx="199">
                  <c:v>5</c:v>
                </c:pt>
                <c:pt idx="200">
                  <c:v>5</c:v>
                </c:pt>
                <c:pt idx="201">
                  <c:v>4</c:v>
                </c:pt>
                <c:pt idx="202">
                  <c:v>5</c:v>
                </c:pt>
                <c:pt idx="203">
                  <c:v>3</c:v>
                </c:pt>
                <c:pt idx="204">
                  <c:v>4</c:v>
                </c:pt>
                <c:pt idx="205">
                  <c:v>4</c:v>
                </c:pt>
                <c:pt idx="206">
                  <c:v>5</c:v>
                </c:pt>
                <c:pt idx="207">
                  <c:v>3</c:v>
                </c:pt>
                <c:pt idx="208">
                  <c:v>4</c:v>
                </c:pt>
                <c:pt idx="209">
                  <c:v>5</c:v>
                </c:pt>
                <c:pt idx="210">
                  <c:v>5</c:v>
                </c:pt>
                <c:pt idx="211">
                  <c:v>3</c:v>
                </c:pt>
                <c:pt idx="212">
                  <c:v>4</c:v>
                </c:pt>
                <c:pt idx="213">
                  <c:v>5</c:v>
                </c:pt>
                <c:pt idx="214">
                  <c:v>5</c:v>
                </c:pt>
                <c:pt idx="215">
                  <c:v>4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3</c:v>
                </c:pt>
                <c:pt idx="237">
                  <c:v>3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4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4</c:v>
                </c:pt>
                <c:pt idx="255">
                  <c:v>4</c:v>
                </c:pt>
                <c:pt idx="256">
                  <c:v>4</c:v>
                </c:pt>
                <c:pt idx="257">
                  <c:v>4</c:v>
                </c:pt>
                <c:pt idx="258">
                  <c:v>4</c:v>
                </c:pt>
                <c:pt idx="259">
                  <c:v>4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4</c:v>
                </c:pt>
                <c:pt idx="298">
                  <c:v>4</c:v>
                </c:pt>
                <c:pt idx="299">
                  <c:v>4</c:v>
                </c:pt>
                <c:pt idx="300">
                  <c:v>4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2</c:v>
                </c:pt>
                <c:pt idx="324">
                  <c:v>2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5</c:v>
                </c:pt>
                <c:pt idx="330">
                  <c:v>5</c:v>
                </c:pt>
                <c:pt idx="331">
                  <c:v>4</c:v>
                </c:pt>
                <c:pt idx="332">
                  <c:v>4</c:v>
                </c:pt>
                <c:pt idx="333">
                  <c:v>4</c:v>
                </c:pt>
                <c:pt idx="334">
                  <c:v>4</c:v>
                </c:pt>
                <c:pt idx="335">
                  <c:v>4</c:v>
                </c:pt>
                <c:pt idx="336">
                  <c:v>5</c:v>
                </c:pt>
                <c:pt idx="337">
                  <c:v>5</c:v>
                </c:pt>
                <c:pt idx="338">
                  <c:v>4</c:v>
                </c:pt>
                <c:pt idx="339">
                  <c:v>4</c:v>
                </c:pt>
                <c:pt idx="340">
                  <c:v>5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4</c:v>
                </c:pt>
                <c:pt idx="349">
                  <c:v>4</c:v>
                </c:pt>
                <c:pt idx="350">
                  <c:v>4</c:v>
                </c:pt>
                <c:pt idx="351">
                  <c:v>4</c:v>
                </c:pt>
                <c:pt idx="352">
                  <c:v>4</c:v>
                </c:pt>
                <c:pt idx="353">
                  <c:v>4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5</c:v>
                </c:pt>
                <c:pt idx="358">
                  <c:v>5</c:v>
                </c:pt>
                <c:pt idx="359">
                  <c:v>4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4</c:v>
                </c:pt>
                <c:pt idx="364">
                  <c:v>4</c:v>
                </c:pt>
                <c:pt idx="365">
                  <c:v>4</c:v>
                </c:pt>
                <c:pt idx="366">
                  <c:v>4</c:v>
                </c:pt>
                <c:pt idx="367">
                  <c:v>4</c:v>
                </c:pt>
                <c:pt idx="368">
                  <c:v>5</c:v>
                </c:pt>
                <c:pt idx="369">
                  <c:v>5</c:v>
                </c:pt>
                <c:pt idx="370">
                  <c:v>4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5</c:v>
                </c:pt>
                <c:pt idx="380">
                  <c:v>5</c:v>
                </c:pt>
                <c:pt idx="381">
                  <c:v>5</c:v>
                </c:pt>
                <c:pt idx="382">
                  <c:v>4</c:v>
                </c:pt>
                <c:pt idx="383">
                  <c:v>4</c:v>
                </c:pt>
                <c:pt idx="384">
                  <c:v>4</c:v>
                </c:pt>
                <c:pt idx="385">
                  <c:v>4</c:v>
                </c:pt>
                <c:pt idx="386">
                  <c:v>4</c:v>
                </c:pt>
                <c:pt idx="387">
                  <c:v>4</c:v>
                </c:pt>
                <c:pt idx="388">
                  <c:v>4</c:v>
                </c:pt>
                <c:pt idx="389">
                  <c:v>4</c:v>
                </c:pt>
                <c:pt idx="390">
                  <c:v>4</c:v>
                </c:pt>
                <c:pt idx="391">
                  <c:v>4</c:v>
                </c:pt>
                <c:pt idx="392">
                  <c:v>4</c:v>
                </c:pt>
                <c:pt idx="393">
                  <c:v>4</c:v>
                </c:pt>
                <c:pt idx="394">
                  <c:v>4</c:v>
                </c:pt>
                <c:pt idx="395">
                  <c:v>4</c:v>
                </c:pt>
                <c:pt idx="396">
                  <c:v>5</c:v>
                </c:pt>
                <c:pt idx="397">
                  <c:v>3</c:v>
                </c:pt>
                <c:pt idx="398">
                  <c:v>2</c:v>
                </c:pt>
                <c:pt idx="399">
                  <c:v>5</c:v>
                </c:pt>
                <c:pt idx="400">
                  <c:v>3</c:v>
                </c:pt>
                <c:pt idx="401">
                  <c:v>5</c:v>
                </c:pt>
                <c:pt idx="402">
                  <c:v>3</c:v>
                </c:pt>
                <c:pt idx="403">
                  <c:v>3</c:v>
                </c:pt>
                <c:pt idx="404">
                  <c:v>5</c:v>
                </c:pt>
                <c:pt idx="405">
                  <c:v>3</c:v>
                </c:pt>
                <c:pt idx="406">
                  <c:v>5</c:v>
                </c:pt>
                <c:pt idx="407">
                  <c:v>4</c:v>
                </c:pt>
                <c:pt idx="408">
                  <c:v>5</c:v>
                </c:pt>
                <c:pt idx="409">
                  <c:v>3</c:v>
                </c:pt>
                <c:pt idx="410">
                  <c:v>5</c:v>
                </c:pt>
                <c:pt idx="411">
                  <c:v>3</c:v>
                </c:pt>
                <c:pt idx="412">
                  <c:v>3</c:v>
                </c:pt>
                <c:pt idx="413">
                  <c:v>5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4</c:v>
                </c:pt>
                <c:pt idx="419">
                  <c:v>4</c:v>
                </c:pt>
                <c:pt idx="420">
                  <c:v>4</c:v>
                </c:pt>
                <c:pt idx="421">
                  <c:v>4</c:v>
                </c:pt>
                <c:pt idx="422">
                  <c:v>4</c:v>
                </c:pt>
                <c:pt idx="423">
                  <c:v>4</c:v>
                </c:pt>
                <c:pt idx="424">
                  <c:v>4</c:v>
                </c:pt>
                <c:pt idx="425">
                  <c:v>4</c:v>
                </c:pt>
                <c:pt idx="426">
                  <c:v>4</c:v>
                </c:pt>
                <c:pt idx="427">
                  <c:v>4</c:v>
                </c:pt>
                <c:pt idx="428">
                  <c:v>4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4</c:v>
                </c:pt>
                <c:pt idx="439">
                  <c:v>4</c:v>
                </c:pt>
                <c:pt idx="440">
                  <c:v>4</c:v>
                </c:pt>
                <c:pt idx="441">
                  <c:v>4</c:v>
                </c:pt>
                <c:pt idx="442">
                  <c:v>4</c:v>
                </c:pt>
                <c:pt idx="443">
                  <c:v>4</c:v>
                </c:pt>
                <c:pt idx="444">
                  <c:v>4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2</c:v>
                </c:pt>
                <c:pt idx="450">
                  <c:v>4</c:v>
                </c:pt>
                <c:pt idx="451">
                  <c:v>4</c:v>
                </c:pt>
                <c:pt idx="452">
                  <c:v>4</c:v>
                </c:pt>
                <c:pt idx="453">
                  <c:v>4</c:v>
                </c:pt>
                <c:pt idx="454">
                  <c:v>4</c:v>
                </c:pt>
                <c:pt idx="455">
                  <c:v>4</c:v>
                </c:pt>
                <c:pt idx="456">
                  <c:v>4</c:v>
                </c:pt>
                <c:pt idx="457">
                  <c:v>4</c:v>
                </c:pt>
                <c:pt idx="458">
                  <c:v>4</c:v>
                </c:pt>
                <c:pt idx="459">
                  <c:v>4</c:v>
                </c:pt>
                <c:pt idx="460">
                  <c:v>4</c:v>
                </c:pt>
                <c:pt idx="461">
                  <c:v>4</c:v>
                </c:pt>
                <c:pt idx="462">
                  <c:v>4</c:v>
                </c:pt>
                <c:pt idx="463">
                  <c:v>4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4</c:v>
                </c:pt>
                <c:pt idx="475">
                  <c:v>4</c:v>
                </c:pt>
                <c:pt idx="476">
                  <c:v>4</c:v>
                </c:pt>
                <c:pt idx="477">
                  <c:v>4</c:v>
                </c:pt>
                <c:pt idx="478">
                  <c:v>4</c:v>
                </c:pt>
                <c:pt idx="479">
                  <c:v>4</c:v>
                </c:pt>
                <c:pt idx="480">
                  <c:v>4</c:v>
                </c:pt>
                <c:pt idx="481">
                  <c:v>4</c:v>
                </c:pt>
                <c:pt idx="482">
                  <c:v>2</c:v>
                </c:pt>
                <c:pt idx="483">
                  <c:v>2</c:v>
                </c:pt>
                <c:pt idx="484">
                  <c:v>2</c:v>
                </c:pt>
                <c:pt idx="485">
                  <c:v>2</c:v>
                </c:pt>
                <c:pt idx="486">
                  <c:v>2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2</c:v>
                </c:pt>
                <c:pt idx="491">
                  <c:v>2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4</c:v>
                </c:pt>
                <c:pt idx="503">
                  <c:v>4</c:v>
                </c:pt>
                <c:pt idx="504">
                  <c:v>4</c:v>
                </c:pt>
                <c:pt idx="505">
                  <c:v>4</c:v>
                </c:pt>
                <c:pt idx="506">
                  <c:v>4</c:v>
                </c:pt>
                <c:pt idx="507">
                  <c:v>4</c:v>
                </c:pt>
                <c:pt idx="508">
                  <c:v>4</c:v>
                </c:pt>
                <c:pt idx="509">
                  <c:v>4</c:v>
                </c:pt>
                <c:pt idx="510">
                  <c:v>4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4</c:v>
                </c:pt>
                <c:pt idx="528">
                  <c:v>4</c:v>
                </c:pt>
                <c:pt idx="529">
                  <c:v>2</c:v>
                </c:pt>
                <c:pt idx="530">
                  <c:v>2</c:v>
                </c:pt>
                <c:pt idx="531">
                  <c:v>2</c:v>
                </c:pt>
                <c:pt idx="532">
                  <c:v>2</c:v>
                </c:pt>
                <c:pt idx="533">
                  <c:v>2</c:v>
                </c:pt>
                <c:pt idx="534">
                  <c:v>2</c:v>
                </c:pt>
                <c:pt idx="535">
                  <c:v>2</c:v>
                </c:pt>
                <c:pt idx="536">
                  <c:v>1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3</c:v>
                </c:pt>
                <c:pt idx="546">
                  <c:v>4</c:v>
                </c:pt>
                <c:pt idx="547">
                  <c:v>4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4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3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4</c:v>
                </c:pt>
                <c:pt idx="575">
                  <c:v>4</c:v>
                </c:pt>
                <c:pt idx="576">
                  <c:v>3</c:v>
                </c:pt>
                <c:pt idx="577">
                  <c:v>2</c:v>
                </c:pt>
                <c:pt idx="578">
                  <c:v>2</c:v>
                </c:pt>
                <c:pt idx="579">
                  <c:v>2</c:v>
                </c:pt>
                <c:pt idx="580">
                  <c:v>2</c:v>
                </c:pt>
                <c:pt idx="581">
                  <c:v>2</c:v>
                </c:pt>
                <c:pt idx="582">
                  <c:v>2</c:v>
                </c:pt>
                <c:pt idx="583">
                  <c:v>2</c:v>
                </c:pt>
                <c:pt idx="584">
                  <c:v>4</c:v>
                </c:pt>
                <c:pt idx="585">
                  <c:v>4</c:v>
                </c:pt>
                <c:pt idx="586">
                  <c:v>4</c:v>
                </c:pt>
                <c:pt idx="587">
                  <c:v>4</c:v>
                </c:pt>
                <c:pt idx="588">
                  <c:v>4</c:v>
                </c:pt>
                <c:pt idx="589">
                  <c:v>4</c:v>
                </c:pt>
                <c:pt idx="590">
                  <c:v>4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4</c:v>
                </c:pt>
                <c:pt idx="602">
                  <c:v>4</c:v>
                </c:pt>
                <c:pt idx="603">
                  <c:v>3</c:v>
                </c:pt>
                <c:pt idx="604">
                  <c:v>4</c:v>
                </c:pt>
                <c:pt idx="605">
                  <c:v>4</c:v>
                </c:pt>
                <c:pt idx="606">
                  <c:v>4</c:v>
                </c:pt>
                <c:pt idx="607">
                  <c:v>3</c:v>
                </c:pt>
                <c:pt idx="608">
                  <c:v>2</c:v>
                </c:pt>
                <c:pt idx="609">
                  <c:v>3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3</c:v>
                </c:pt>
                <c:pt idx="614">
                  <c:v>2</c:v>
                </c:pt>
                <c:pt idx="615">
                  <c:v>3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3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3</c:v>
                </c:pt>
                <c:pt idx="631">
                  <c:v>3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2</c:v>
                </c:pt>
                <c:pt idx="636">
                  <c:v>2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3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3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3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2</c:v>
                </c:pt>
                <c:pt idx="667">
                  <c:v>2</c:v>
                </c:pt>
                <c:pt idx="668">
                  <c:v>2</c:v>
                </c:pt>
                <c:pt idx="669">
                  <c:v>2</c:v>
                </c:pt>
                <c:pt idx="670">
                  <c:v>2</c:v>
                </c:pt>
                <c:pt idx="671">
                  <c:v>2</c:v>
                </c:pt>
                <c:pt idx="672">
                  <c:v>2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2</c:v>
                </c:pt>
                <c:pt idx="701">
                  <c:v>2</c:v>
                </c:pt>
                <c:pt idx="702">
                  <c:v>2</c:v>
                </c:pt>
                <c:pt idx="703">
                  <c:v>2</c:v>
                </c:pt>
                <c:pt idx="704">
                  <c:v>2</c:v>
                </c:pt>
                <c:pt idx="705">
                  <c:v>2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2</c:v>
                </c:pt>
                <c:pt idx="725">
                  <c:v>3</c:v>
                </c:pt>
                <c:pt idx="726">
                  <c:v>2</c:v>
                </c:pt>
                <c:pt idx="727">
                  <c:v>2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2</c:v>
                </c:pt>
                <c:pt idx="745">
                  <c:v>2</c:v>
                </c:pt>
                <c:pt idx="746">
                  <c:v>2</c:v>
                </c:pt>
                <c:pt idx="747">
                  <c:v>2</c:v>
                </c:pt>
                <c:pt idx="748">
                  <c:v>2</c:v>
                </c:pt>
                <c:pt idx="749">
                  <c:v>2</c:v>
                </c:pt>
                <c:pt idx="750">
                  <c:v>3</c:v>
                </c:pt>
                <c:pt idx="751">
                  <c:v>3</c:v>
                </c:pt>
                <c:pt idx="752">
                  <c:v>2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2</c:v>
                </c:pt>
                <c:pt idx="757">
                  <c:v>2</c:v>
                </c:pt>
                <c:pt idx="758">
                  <c:v>2</c:v>
                </c:pt>
                <c:pt idx="759">
                  <c:v>2</c:v>
                </c:pt>
                <c:pt idx="760">
                  <c:v>2</c:v>
                </c:pt>
                <c:pt idx="761">
                  <c:v>2</c:v>
                </c:pt>
                <c:pt idx="762">
                  <c:v>3</c:v>
                </c:pt>
                <c:pt idx="763">
                  <c:v>2</c:v>
                </c:pt>
                <c:pt idx="764">
                  <c:v>2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2</c:v>
                </c:pt>
                <c:pt idx="773">
                  <c:v>2</c:v>
                </c:pt>
                <c:pt idx="774">
                  <c:v>2</c:v>
                </c:pt>
                <c:pt idx="775">
                  <c:v>2</c:v>
                </c:pt>
                <c:pt idx="776">
                  <c:v>2</c:v>
                </c:pt>
                <c:pt idx="777">
                  <c:v>2</c:v>
                </c:pt>
                <c:pt idx="778">
                  <c:v>2</c:v>
                </c:pt>
                <c:pt idx="779">
                  <c:v>2</c:v>
                </c:pt>
                <c:pt idx="780">
                  <c:v>2</c:v>
                </c:pt>
                <c:pt idx="781">
                  <c:v>3</c:v>
                </c:pt>
                <c:pt idx="782">
                  <c:v>3</c:v>
                </c:pt>
                <c:pt idx="783">
                  <c:v>2</c:v>
                </c:pt>
                <c:pt idx="784">
                  <c:v>2</c:v>
                </c:pt>
                <c:pt idx="785">
                  <c:v>3</c:v>
                </c:pt>
                <c:pt idx="786">
                  <c:v>2</c:v>
                </c:pt>
                <c:pt idx="787">
                  <c:v>2</c:v>
                </c:pt>
                <c:pt idx="788">
                  <c:v>2</c:v>
                </c:pt>
                <c:pt idx="789">
                  <c:v>3</c:v>
                </c:pt>
                <c:pt idx="790">
                  <c:v>2</c:v>
                </c:pt>
                <c:pt idx="791">
                  <c:v>3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A3-46E7-A67B-D235F49E1F3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15750919"/>
        <c:axId val="115758087"/>
      </c:scatterChart>
      <c:valAx>
        <c:axId val="115750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58087"/>
        <c:crosses val="autoZero"/>
        <c:crossBetween val="midCat"/>
      </c:valAx>
      <c:valAx>
        <c:axId val="1157580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800" b="1" i="0" u="none" strike="noStrike" kern="1200" cap="all" baseline="0">
                    <a:solidFill>
                      <a:sysClr val="window" lastClr="FFFFFF">
                        <a:lumMod val="75000"/>
                      </a:sysClr>
                    </a:solidFill>
                  </a:rPr>
                  <a:t>Performance  score (1 to 5</a:t>
                </a:r>
                <a:r>
                  <a:rPr lang="en-IN" sz="900" b="1" i="0" u="none" strike="noStrike" cap="all" baseline="0"/>
                  <a:t>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50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_xlchart.v1.4</cx:f>
      </cx:numDim>
    </cx:data>
    <cx:data id="1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treemap" uniqueId="{00000000-DC92-4A4B-A3FC-8B6D77B0C479}" formatIdx="0"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  <cx:series layoutId="treemap" hidden="1" uniqueId="{00000001-DC92-4A4B-A3FC-8B6D77B0C479}" formatIdx="1">
          <cx:dataLabels pos="inEnd">
            <cx:visibility seriesName="0" categoryName="1" value="0"/>
          </cx:dataLabels>
          <cx:dataId val="1"/>
          <cx:layoutPr>
            <cx:parentLabelLayout val="overlapping"/>
          </cx:layoutPr>
        </cx:series>
      </cx:plotAreaRegion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15">
  <cs:axisTitle>
    <cs:lnRef idx="0"/>
    <cs:fillRef idx="0"/>
    <cs:effectRef idx="0"/>
    <cs:fontRef idx="minor">
      <a:schemeClr val="lt1">
        <a:lumMod val="95000"/>
      </a:schemeClr>
    </cs:fontRef>
    <cs:spPr>
      <a:solidFill>
        <a:schemeClr val="bg1">
          <a:lumMod val="65000"/>
        </a:schemeClr>
      </a:solidFill>
      <a:ln>
        <a:solidFill>
          <a:schemeClr val="tx1"/>
        </a:solidFill>
      </a:ln>
    </cs:spPr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microsoft.com/office/2014/relationships/chartEx" Target="../charts/chartEx1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1085850</xdr:colOff>
      <xdr:row>794</xdr:row>
      <xdr:rowOff>57150</xdr:rowOff>
    </xdr:from>
    <xdr:to>
      <xdr:col>7</xdr:col>
      <xdr:colOff>266700</xdr:colOff>
      <xdr:row>1009</xdr:row>
      <xdr:rowOff>85725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17F6C821-A072-C25F-ACCC-103AFF7A5E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79788</xdr:colOff>
      <xdr:row>0</xdr:row>
      <xdr:rowOff>126448</xdr:rowOff>
    </xdr:from>
    <xdr:to>
      <xdr:col>9</xdr:col>
      <xdr:colOff>242955</xdr:colOff>
      <xdr:row>16</xdr:row>
      <xdr:rowOff>55218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008D77-02B2-4C38-9009-CFAC98EBD7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93317</xdr:colOff>
      <xdr:row>1</xdr:row>
      <xdr:rowOff>32164</xdr:rowOff>
    </xdr:from>
    <xdr:to>
      <xdr:col>18</xdr:col>
      <xdr:colOff>441740</xdr:colOff>
      <xdr:row>16</xdr:row>
      <xdr:rowOff>143565</xdr:rowOff>
    </xdr:to>
    <xdr:graphicFrame macro="">
      <xdr:nvGraphicFramePr>
        <xdr:cNvPr id="14" name="Chart 2">
          <a:extLst>
            <a:ext uri="{FF2B5EF4-FFF2-40B4-BE49-F238E27FC236}">
              <a16:creationId xmlns:a16="http://schemas.microsoft.com/office/drawing/2014/main" id="{96CADD44-FE91-48B6-9829-C7433E1E67A1}"/>
            </a:ext>
            <a:ext uri="{147F2762-F138-4A5C-976F-8EAC2B608ADB}">
              <a16:predDERef xmlns:a16="http://schemas.microsoft.com/office/drawing/2014/main" pred="{F8008D77-02B2-4C38-9009-CFAC98EBD7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128382</xdr:colOff>
      <xdr:row>16</xdr:row>
      <xdr:rowOff>187246</xdr:rowOff>
    </xdr:from>
    <xdr:to>
      <xdr:col>9</xdr:col>
      <xdr:colOff>298173</xdr:colOff>
      <xdr:row>35</xdr:row>
      <xdr:rowOff>0</xdr:rowOff>
    </xdr:to>
    <xdr:graphicFrame macro="">
      <xdr:nvGraphicFramePr>
        <xdr:cNvPr id="11" name="Chart 3">
          <a:extLst>
            <a:ext uri="{FF2B5EF4-FFF2-40B4-BE49-F238E27FC236}">
              <a16:creationId xmlns:a16="http://schemas.microsoft.com/office/drawing/2014/main" id="{A75ACC3E-5B96-4459-88D9-832DC1F25EE7}"/>
            </a:ext>
            <a:ext uri="{147F2762-F138-4A5C-976F-8EAC2B608ADB}">
              <a16:predDERef xmlns:a16="http://schemas.microsoft.com/office/drawing/2014/main" pred="{96CADD44-FE91-48B6-9829-C7433E1E6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55217</xdr:colOff>
      <xdr:row>17</xdr:row>
      <xdr:rowOff>159196</xdr:rowOff>
    </xdr:from>
    <xdr:to>
      <xdr:col>18</xdr:col>
      <xdr:colOff>441740</xdr:colOff>
      <xdr:row>35</xdr:row>
      <xdr:rowOff>22087</xdr:rowOff>
    </xdr:to>
    <xdr:graphicFrame macro="">
      <xdr:nvGraphicFramePr>
        <xdr:cNvPr id="15" name="Chart 18">
          <a:extLst>
            <a:ext uri="{FF2B5EF4-FFF2-40B4-BE49-F238E27FC236}">
              <a16:creationId xmlns:a16="http://schemas.microsoft.com/office/drawing/2014/main" id="{7B33E09B-42CF-497D-A28B-EF9BDD15D0CE}"/>
            </a:ext>
            <a:ext uri="{147F2762-F138-4A5C-976F-8EAC2B608ADB}">
              <a16:predDERef xmlns:a16="http://schemas.microsoft.com/office/drawing/2014/main" pred="{A75ACC3E-5B96-4459-88D9-832DC1F25E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-8373</xdr:colOff>
      <xdr:row>40</xdr:row>
      <xdr:rowOff>42240</xdr:rowOff>
    </xdr:from>
    <xdr:to>
      <xdr:col>9</xdr:col>
      <xdr:colOff>306042</xdr:colOff>
      <xdr:row>59</xdr:row>
      <xdr:rowOff>26228</xdr:rowOff>
    </xdr:to>
    <xdr:graphicFrame macro="">
      <xdr:nvGraphicFramePr>
        <xdr:cNvPr id="54" name="Chart 52">
          <a:extLst>
            <a:ext uri="{FF2B5EF4-FFF2-40B4-BE49-F238E27FC236}">
              <a16:creationId xmlns:a16="http://schemas.microsoft.com/office/drawing/2014/main" id="{ACCCF78A-C6F2-4F48-A64E-81FA07D9F5D5}"/>
            </a:ext>
            <a:ext uri="{147F2762-F138-4A5C-976F-8EAC2B608ADB}">
              <a16:predDERef xmlns:a16="http://schemas.microsoft.com/office/drawing/2014/main" pred="{7B33E09B-42CF-497D-A28B-EF9BDD15D0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474871</xdr:colOff>
      <xdr:row>36</xdr:row>
      <xdr:rowOff>110435</xdr:rowOff>
    </xdr:from>
    <xdr:to>
      <xdr:col>20</xdr:col>
      <xdr:colOff>41564</xdr:colOff>
      <xdr:row>56</xdr:row>
      <xdr:rowOff>27709</xdr:rowOff>
    </xdr:to>
    <xdr:graphicFrame macro="">
      <xdr:nvGraphicFramePr>
        <xdr:cNvPr id="18" name="Chart 2">
          <a:extLst>
            <a:ext uri="{FF2B5EF4-FFF2-40B4-BE49-F238E27FC236}">
              <a16:creationId xmlns:a16="http://schemas.microsoft.com/office/drawing/2014/main" id="{0D31C981-B94D-49D7-AE21-BCAC0BC483F7}"/>
            </a:ext>
            <a:ext uri="{147F2762-F138-4A5C-976F-8EAC2B608ADB}">
              <a16:predDERef xmlns:a16="http://schemas.microsoft.com/office/drawing/2014/main" pred="{ACCCF78A-C6F2-4F48-A64E-81FA07D9F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171450</xdr:colOff>
      <xdr:row>1</xdr:row>
      <xdr:rowOff>161925</xdr:rowOff>
    </xdr:from>
    <xdr:to>
      <xdr:col>32</xdr:col>
      <xdr:colOff>304800</xdr:colOff>
      <xdr:row>33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3" name="Chart 2">
              <a:extLst>
                <a:ext uri="{FF2B5EF4-FFF2-40B4-BE49-F238E27FC236}">
                  <a16:creationId xmlns:a16="http://schemas.microsoft.com/office/drawing/2014/main" id="{70CE64F2-8763-7EED-C7F1-CA3A4D2B6C23}"/>
                </a:ext>
                <a:ext uri="{147F2762-F138-4A5C-976F-8EAC2B608ADB}">
                  <a16:predDERef xmlns:a16="http://schemas.microsoft.com/office/drawing/2014/main" pred="{0D31C981-B94D-49D7-AE21-BCAC0BC483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53850" y="344805"/>
              <a:ext cx="8058150" cy="57569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0.02647</cdr:x>
      <cdr:y>0.43874</cdr:y>
    </cdr:from>
    <cdr:to>
      <cdr:x>0.27745</cdr:x>
      <cdr:y>0.76547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B102915-7D04-DFEC-C051-C244C6B134A8}"/>
            </a:ext>
          </a:extLst>
        </cdr:cNvPr>
        <cdr:cNvSpPr txBox="1"/>
      </cdr:nvSpPr>
      <cdr:spPr>
        <a:xfrm xmlns:a="http://schemas.openxmlformats.org/drawingml/2006/main">
          <a:off x="121024" y="1191746"/>
          <a:ext cx="1147482" cy="8875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100" b="1" kern="1200">
              <a:solidFill>
                <a:schemeClr val="accent3">
                  <a:lumMod val="20000"/>
                  <a:lumOff val="80000"/>
                </a:schemeClr>
              </a:solidFill>
            </a:rPr>
            <a:t>800 Employees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561975</xdr:colOff>
      <xdr:row>13</xdr:row>
      <xdr:rowOff>114300</xdr:rowOff>
    </xdr:from>
    <xdr:to>
      <xdr:col>15</xdr:col>
      <xdr:colOff>228600</xdr:colOff>
      <xdr:row>30</xdr:row>
      <xdr:rowOff>43815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Department(Trim)">
              <a:extLst>
                <a:ext uri="{FF2B5EF4-FFF2-40B4-BE49-F238E27FC236}">
                  <a16:creationId xmlns:a16="http://schemas.microsoft.com/office/drawing/2014/main" id="{A247FE2E-3647-BD0A-7479-A03A0B9D25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(Trim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16550" y="2590800"/>
              <a:ext cx="2714625" cy="3038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16</xdr:col>
      <xdr:colOff>114300</xdr:colOff>
      <xdr:row>1</xdr:row>
      <xdr:rowOff>133350</xdr:rowOff>
    </xdr:from>
    <xdr:to>
      <xdr:col>20</xdr:col>
      <xdr:colOff>76200</xdr:colOff>
      <xdr:row>16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Company Origin (Trim)">
              <a:extLst>
                <a:ext uri="{FF2B5EF4-FFF2-40B4-BE49-F238E27FC236}">
                  <a16:creationId xmlns:a16="http://schemas.microsoft.com/office/drawing/2014/main" id="{5FE4FFF8-9D0E-EDAF-9D06-9876E3D43146}"/>
                </a:ext>
                <a:ext uri="{147F2762-F138-4A5C-976F-8EAC2B608ADB}">
                  <a16:predDERef xmlns:a16="http://schemas.microsoft.com/office/drawing/2014/main" pred="{A247FE2E-3647-BD0A-7479-A03A0B9D25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any Origin (Trim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802725" y="323850"/>
              <a:ext cx="24003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21</xdr:col>
      <xdr:colOff>200025</xdr:colOff>
      <xdr:row>11</xdr:row>
      <xdr:rowOff>133350</xdr:rowOff>
    </xdr:from>
    <xdr:to>
      <xdr:col>24</xdr:col>
      <xdr:colOff>200025</xdr:colOff>
      <xdr:row>26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Work Ratings">
              <a:extLst>
                <a:ext uri="{FF2B5EF4-FFF2-40B4-BE49-F238E27FC236}">
                  <a16:creationId xmlns:a16="http://schemas.microsoft.com/office/drawing/2014/main" id="{A912DA79-CD4A-0E1B-FC10-B2C7C0B75E90}"/>
                </a:ext>
                <a:ext uri="{147F2762-F138-4A5C-976F-8EAC2B608ADB}">
                  <a16:predDERef xmlns:a16="http://schemas.microsoft.com/office/drawing/2014/main" pred="{5FE4FFF8-9D0E-EDAF-9D06-9876E3D431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ork Rating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926800" y="22288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cha\Downloads\techyoon.xlsx" TargetMode="External"/><Relationship Id="rId1" Type="http://schemas.openxmlformats.org/officeDocument/2006/relationships/externalLinkPath" Target="/Users/ancha/Downloads/techyo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Data"/>
      <sheetName val="Analysis"/>
      <sheetName val="Solution "/>
      <sheetName val="Sheet1"/>
      <sheetName val="Employee id "/>
    </sheetNames>
    <sheetDataSet>
      <sheetData sheetId="0"/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4.370722569445" createdVersion="8" refreshedVersion="8" minRefreshableVersion="3" recordCount="1000" xr:uid="{2D69F59B-90DB-4E65-AE8D-BF2997BD75B0}">
  <cacheSource type="worksheet">
    <worksheetSource ref="A1:R1001" sheet="EmployeeData"/>
  </cacheSource>
  <cacheFields count="18">
    <cacheField name="Employee_ID" numFmtId="0">
      <sharedItems/>
    </cacheField>
    <cacheField name="Department" numFmtId="0">
      <sharedItems count="10">
        <s v="Research &amp; Department"/>
        <s v="Sales &amp; Marketing "/>
        <s v="IT &amp; Systems "/>
        <s v="Manufacturing and operations"/>
        <s v="Quality Assurance"/>
        <s v="Customer Experience"/>
        <s v="Human Resources"/>
        <s v="Finance"/>
        <s v="Administrative Services"/>
        <s v="Business Strategy"/>
      </sharedItems>
    </cacheField>
    <cacheField name="Department(Trim)" numFmtId="0">
      <sharedItems count="10">
        <s v="Research &amp; Department"/>
        <s v="Sales &amp; Marketing"/>
        <s v="IT &amp; Systems"/>
        <s v="Manufacturing and operations"/>
        <s v="Quality Assurance"/>
        <s v="Customer Experience"/>
        <s v="Human Resources"/>
        <s v="Finance"/>
        <s v="Administrative Services"/>
        <s v="Business Strategy"/>
      </sharedItems>
    </cacheField>
    <cacheField name="Company Origin" numFmtId="0">
      <sharedItems/>
    </cacheField>
    <cacheField name="Company Origin (Trim)" numFmtId="0">
      <sharedItems count="2">
        <s v="Dataverse"/>
        <s v="Technova"/>
      </sharedItems>
    </cacheField>
    <cacheField name="Tenure with the Company" numFmtId="0">
      <sharedItems containsSemiMixedTypes="0" containsString="0" containsNumber="1" containsInteger="1" minValue="1" maxValue="25"/>
    </cacheField>
    <cacheField name="Salary" numFmtId="0">
      <sharedItems containsSemiMixedTypes="0" containsString="0" containsNumber="1" containsInteger="1" minValue="10000" maxValue="90000"/>
    </cacheField>
    <cacheField name="HireDate" numFmtId="14">
      <sharedItems containsSemiMixedTypes="0" containsNonDate="0" containsDate="1" containsString="0" minDate="2004-07-21T00:00:00" maxDate="2024-06-16T00:00:00"/>
    </cacheField>
    <cacheField name="PerformanceScore" numFmtId="0">
      <sharedItems containsSemiMixedTypes="0" containsString="0" containsNumber="1" containsInteger="1" minValue="1" maxValue="5"/>
    </cacheField>
    <cacheField name="Work Ratings" numFmtId="0">
      <sharedItems count="3">
        <s v="C"/>
        <s v="B"/>
        <s v="A"/>
      </sharedItems>
    </cacheField>
    <cacheField name="Output_Unit" numFmtId="0">
      <sharedItems containsSemiMixedTypes="0" containsString="0" containsNumber="1" containsInteger="1" minValue="1" maxValue="3"/>
    </cacheField>
    <cacheField name="Output_Cost_Ratio" numFmtId="0">
      <sharedItems containsSemiMixedTypes="0" containsString="0" containsNumber="1" minValue="3.3333333333333335E-5" maxValue="1E-4"/>
    </cacheField>
    <cacheField name="Is_Senior_GT15" numFmtId="0">
      <sharedItems/>
    </cacheField>
    <cacheField name="Is_Mid_GT5" numFmtId="0">
      <sharedItems/>
    </cacheField>
    <cacheField name="Selection_Status" numFmtId="0">
      <sharedItems count="2">
        <s v="Retain"/>
        <s v="Terminate"/>
      </sharedItems>
    </cacheField>
    <cacheField name="Norm_Ratio" numFmtId="0">
      <sharedItems containsSemiMixedTypes="0" containsString="0" containsNumber="1" minValue="0" maxValue="1"/>
    </cacheField>
    <cacheField name="Norm_PerfScore" numFmtId="0">
      <sharedItems containsSemiMixedTypes="0" containsString="0" containsNumber="1" minValue="0" maxValue="1"/>
    </cacheField>
    <cacheField name="Unified_Performance_Score" numFmtId="0">
      <sharedItems containsSemiMixedTypes="0" containsString="0" containsNumber="1" minValue="0" maxValue="1"/>
    </cacheField>
  </cacheFields>
  <extLst>
    <ext xmlns:x14="http://schemas.microsoft.com/office/spreadsheetml/2009/9/main" uri="{725AE2AE-9491-48be-B2B4-4EB974FC3084}">
      <x14:pivotCacheDefinition pivotCacheId="18456721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ID000115"/>
    <x v="0"/>
    <x v="0"/>
    <s v="Dataverse"/>
    <x v="0"/>
    <n v="23"/>
    <n v="10000"/>
    <d v="2008-08-06T00:00:00"/>
    <n v="5"/>
    <x v="0"/>
    <n v="1"/>
    <n v="1E-4"/>
    <b v="1"/>
    <b v="1"/>
    <x v="0"/>
    <n v="1"/>
    <n v="1"/>
    <n v="1"/>
  </r>
  <r>
    <s v="ID000357"/>
    <x v="0"/>
    <x v="0"/>
    <s v="Dataverse"/>
    <x v="0"/>
    <n v="6"/>
    <n v="10000"/>
    <d v="2023-04-28T00:00:00"/>
    <n v="5"/>
    <x v="0"/>
    <n v="1"/>
    <n v="1E-4"/>
    <b v="0"/>
    <b v="1"/>
    <x v="0"/>
    <n v="1"/>
    <n v="1"/>
    <n v="1"/>
  </r>
  <r>
    <s v="ID000873"/>
    <x v="1"/>
    <x v="1"/>
    <s v="Dataverse"/>
    <x v="0"/>
    <n v="17"/>
    <n v="10000"/>
    <d v="2019-04-07T00:00:00"/>
    <n v="5"/>
    <x v="0"/>
    <n v="1"/>
    <n v="1E-4"/>
    <b v="1"/>
    <b v="1"/>
    <x v="0"/>
    <n v="1"/>
    <n v="1"/>
    <n v="1"/>
  </r>
  <r>
    <s v="ID000191"/>
    <x v="0"/>
    <x v="0"/>
    <s v="Technova"/>
    <x v="1"/>
    <n v="25"/>
    <n v="11000"/>
    <d v="2014-10-26T00:00:00"/>
    <n v="5"/>
    <x v="0"/>
    <n v="1"/>
    <n v="9.0909090909090904E-5"/>
    <b v="1"/>
    <b v="1"/>
    <x v="0"/>
    <n v="0.86363636363636354"/>
    <n v="1"/>
    <n v="0.9181818181818181"/>
  </r>
  <r>
    <s v="ID000522"/>
    <x v="0"/>
    <x v="0"/>
    <s v="Technova"/>
    <x v="1"/>
    <n v="5"/>
    <n v="11000"/>
    <d v="2010-08-01T00:00:00"/>
    <n v="5"/>
    <x v="0"/>
    <n v="1"/>
    <n v="9.0909090909090904E-5"/>
    <b v="0"/>
    <b v="0"/>
    <x v="0"/>
    <n v="0.86363636363636354"/>
    <n v="1"/>
    <n v="0.9181818181818181"/>
  </r>
  <r>
    <s v="ID000796"/>
    <x v="1"/>
    <x v="1"/>
    <s v="Technova"/>
    <x v="1"/>
    <n v="21"/>
    <n v="11000"/>
    <d v="2004-11-07T00:00:00"/>
    <n v="5"/>
    <x v="0"/>
    <n v="1"/>
    <n v="9.0909090909090904E-5"/>
    <b v="1"/>
    <b v="1"/>
    <x v="0"/>
    <n v="0.86363636363636354"/>
    <n v="1"/>
    <n v="0.9181818181818181"/>
  </r>
  <r>
    <s v="ID000044"/>
    <x v="0"/>
    <x v="0"/>
    <s v="Technova"/>
    <x v="1"/>
    <n v="7"/>
    <n v="10000"/>
    <d v="2023-12-03T00:00:00"/>
    <n v="4"/>
    <x v="0"/>
    <n v="1"/>
    <n v="1E-4"/>
    <b v="0"/>
    <b v="1"/>
    <x v="0"/>
    <n v="1"/>
    <n v="0.75"/>
    <n v="0.9"/>
  </r>
  <r>
    <s v="ID000526"/>
    <x v="0"/>
    <x v="0"/>
    <s v="Technova"/>
    <x v="1"/>
    <n v="9"/>
    <n v="10000"/>
    <d v="2010-05-07T00:00:00"/>
    <n v="4"/>
    <x v="0"/>
    <n v="1"/>
    <n v="1E-4"/>
    <b v="0"/>
    <b v="1"/>
    <x v="0"/>
    <n v="1"/>
    <n v="0.75"/>
    <n v="0.9"/>
  </r>
  <r>
    <s v="ID000240"/>
    <x v="0"/>
    <x v="0"/>
    <s v="Dataverse"/>
    <x v="0"/>
    <n v="8"/>
    <n v="12000"/>
    <d v="2008-08-12T00:00:00"/>
    <n v="5"/>
    <x v="0"/>
    <n v="1"/>
    <n v="8.3333333333333331E-5"/>
    <b v="0"/>
    <b v="1"/>
    <x v="0"/>
    <n v="0.74999999999999989"/>
    <n v="1"/>
    <n v="0.84999999999999987"/>
  </r>
  <r>
    <s v="ID000779"/>
    <x v="1"/>
    <x v="1"/>
    <s v="Technova"/>
    <x v="1"/>
    <n v="16"/>
    <n v="12000"/>
    <d v="2007-06-28T00:00:00"/>
    <n v="5"/>
    <x v="0"/>
    <n v="1"/>
    <n v="8.3333333333333331E-5"/>
    <b v="1"/>
    <b v="1"/>
    <x v="0"/>
    <n v="0.74999999999999989"/>
    <n v="1"/>
    <n v="0.84999999999999987"/>
  </r>
  <r>
    <s v="ID000038"/>
    <x v="0"/>
    <x v="0"/>
    <s v="Technova"/>
    <x v="1"/>
    <n v="4"/>
    <n v="11000"/>
    <d v="2008-12-02T00:00:00"/>
    <n v="4"/>
    <x v="0"/>
    <n v="1"/>
    <n v="9.0909090909090904E-5"/>
    <b v="0"/>
    <b v="0"/>
    <x v="0"/>
    <n v="0.86363636363636354"/>
    <n v="0.75"/>
    <n v="0.81818181818181812"/>
  </r>
  <r>
    <s v="ID000047"/>
    <x v="0"/>
    <x v="0"/>
    <s v="Technova"/>
    <x v="1"/>
    <n v="16"/>
    <n v="11000"/>
    <d v="2007-01-01T00:00:00"/>
    <n v="4"/>
    <x v="0"/>
    <n v="1"/>
    <n v="9.0909090909090904E-5"/>
    <b v="1"/>
    <b v="1"/>
    <x v="0"/>
    <n v="0.86363636363636354"/>
    <n v="0.75"/>
    <n v="0.81818181818181812"/>
  </r>
  <r>
    <s v="ID000787"/>
    <x v="1"/>
    <x v="1"/>
    <s v="Technova"/>
    <x v="1"/>
    <n v="5"/>
    <n v="11000"/>
    <d v="2022-05-03T00:00:00"/>
    <n v="4"/>
    <x v="0"/>
    <n v="1"/>
    <n v="9.0909090909090904E-5"/>
    <b v="0"/>
    <b v="0"/>
    <x v="0"/>
    <n v="0.86363636363636354"/>
    <n v="0.75"/>
    <n v="0.81818181818181812"/>
  </r>
  <r>
    <s v="ID000883"/>
    <x v="1"/>
    <x v="1"/>
    <s v="Dataverse"/>
    <x v="0"/>
    <n v="14"/>
    <n v="11000"/>
    <d v="2005-10-18T00:00:00"/>
    <n v="4"/>
    <x v="0"/>
    <n v="1"/>
    <n v="9.0909090909090904E-5"/>
    <b v="0"/>
    <b v="1"/>
    <x v="0"/>
    <n v="0.86363636363636354"/>
    <n v="0.75"/>
    <n v="0.81818181818181812"/>
  </r>
  <r>
    <s v="ID000885"/>
    <x v="1"/>
    <x v="1"/>
    <s v="Dataverse"/>
    <x v="0"/>
    <n v="21"/>
    <n v="11000"/>
    <d v="2021-02-26T00:00:00"/>
    <n v="4"/>
    <x v="0"/>
    <n v="1"/>
    <n v="9.0909090909090904E-5"/>
    <b v="1"/>
    <b v="1"/>
    <x v="0"/>
    <n v="0.86363636363636354"/>
    <n v="0.75"/>
    <n v="0.81818181818181812"/>
  </r>
  <r>
    <s v="ID000932"/>
    <x v="1"/>
    <x v="1"/>
    <s v="Dataverse"/>
    <x v="0"/>
    <n v="18"/>
    <n v="11000"/>
    <d v="2013-06-08T00:00:00"/>
    <n v="4"/>
    <x v="0"/>
    <n v="1"/>
    <n v="9.0909090909090904E-5"/>
    <b v="1"/>
    <b v="1"/>
    <x v="0"/>
    <n v="0.86363636363636354"/>
    <n v="0.75"/>
    <n v="0.81818181818181812"/>
  </r>
  <r>
    <s v="ID000997"/>
    <x v="1"/>
    <x v="1"/>
    <s v="Dataverse"/>
    <x v="0"/>
    <n v="3"/>
    <n v="11000"/>
    <d v="2018-01-15T00:00:00"/>
    <n v="4"/>
    <x v="0"/>
    <n v="1"/>
    <n v="9.0909090909090904E-5"/>
    <b v="0"/>
    <b v="0"/>
    <x v="0"/>
    <n v="0.86363636363636354"/>
    <n v="0.75"/>
    <n v="0.81818181818181812"/>
  </r>
  <r>
    <s v="ID000798"/>
    <x v="1"/>
    <x v="1"/>
    <s v="Technova"/>
    <x v="1"/>
    <n v="23"/>
    <n v="10000"/>
    <d v="2013-02-07T00:00:00"/>
    <n v="3"/>
    <x v="0"/>
    <n v="1"/>
    <n v="1E-4"/>
    <b v="1"/>
    <b v="1"/>
    <x v="0"/>
    <n v="1"/>
    <n v="0.5"/>
    <n v="0.8"/>
  </r>
  <r>
    <s v="ID000244"/>
    <x v="0"/>
    <x v="0"/>
    <s v="Dataverse"/>
    <x v="0"/>
    <n v="22"/>
    <n v="13000"/>
    <d v="2010-07-14T00:00:00"/>
    <n v="5"/>
    <x v="0"/>
    <n v="1"/>
    <n v="7.6923076923076926E-5"/>
    <b v="1"/>
    <b v="1"/>
    <x v="0"/>
    <n v="0.65384615384615385"/>
    <n v="1"/>
    <n v="0.79230769230769238"/>
  </r>
  <r>
    <s v="ID000915"/>
    <x v="1"/>
    <x v="1"/>
    <s v="Technova"/>
    <x v="1"/>
    <n v="6"/>
    <n v="13000"/>
    <d v="2010-06-12T00:00:00"/>
    <n v="5"/>
    <x v="0"/>
    <n v="1"/>
    <n v="7.6923076923076926E-5"/>
    <b v="0"/>
    <b v="1"/>
    <x v="0"/>
    <n v="0.65384615384615385"/>
    <n v="1"/>
    <n v="0.79230769230769238"/>
  </r>
  <r>
    <s v="ID000195"/>
    <x v="0"/>
    <x v="0"/>
    <s v="Technova"/>
    <x v="1"/>
    <n v="18"/>
    <n v="12000"/>
    <d v="2016-09-09T00:00:00"/>
    <n v="4"/>
    <x v="0"/>
    <n v="1"/>
    <n v="8.3333333333333331E-5"/>
    <b v="1"/>
    <b v="1"/>
    <x v="0"/>
    <n v="0.74999999999999989"/>
    <n v="0.75"/>
    <n v="0.75"/>
  </r>
  <r>
    <s v="ID000447"/>
    <x v="0"/>
    <x v="0"/>
    <s v="Technova"/>
    <x v="1"/>
    <n v="19"/>
    <n v="12000"/>
    <d v="2009-01-27T00:00:00"/>
    <n v="4"/>
    <x v="0"/>
    <n v="1"/>
    <n v="8.3333333333333331E-5"/>
    <b v="1"/>
    <b v="1"/>
    <x v="0"/>
    <n v="0.74999999999999989"/>
    <n v="0.75"/>
    <n v="0.75"/>
  </r>
  <r>
    <s v="ID000912"/>
    <x v="1"/>
    <x v="1"/>
    <s v="Technova"/>
    <x v="1"/>
    <n v="7"/>
    <n v="12000"/>
    <d v="2005-11-17T00:00:00"/>
    <n v="4"/>
    <x v="0"/>
    <n v="1"/>
    <n v="8.3333333333333331E-5"/>
    <b v="0"/>
    <b v="1"/>
    <x v="0"/>
    <n v="0.74999999999999989"/>
    <n v="0.75"/>
    <n v="0.75"/>
  </r>
  <r>
    <s v="ID000037"/>
    <x v="0"/>
    <x v="0"/>
    <s v="Technova"/>
    <x v="1"/>
    <n v="21"/>
    <n v="14000"/>
    <d v="2010-12-04T00:00:00"/>
    <n v="5"/>
    <x v="0"/>
    <n v="1"/>
    <n v="7.1428571428571434E-5"/>
    <b v="1"/>
    <b v="1"/>
    <x v="0"/>
    <n v="0.57142857142857151"/>
    <n v="1"/>
    <n v="0.74285714285714288"/>
  </r>
  <r>
    <s v="ID000107"/>
    <x v="0"/>
    <x v="0"/>
    <s v="Dataverse"/>
    <x v="0"/>
    <n v="6"/>
    <n v="11000"/>
    <d v="2023-09-29T00:00:00"/>
    <n v="3"/>
    <x v="0"/>
    <n v="1"/>
    <n v="9.0909090909090904E-5"/>
    <b v="0"/>
    <b v="1"/>
    <x v="0"/>
    <n v="0.86363636363636354"/>
    <n v="0.5"/>
    <n v="0.71818181818181803"/>
  </r>
  <r>
    <s v="ID000110"/>
    <x v="0"/>
    <x v="0"/>
    <s v="Dataverse"/>
    <x v="0"/>
    <n v="9"/>
    <n v="11000"/>
    <d v="2012-03-13T00:00:00"/>
    <n v="3"/>
    <x v="0"/>
    <n v="1"/>
    <n v="9.0909090909090904E-5"/>
    <b v="0"/>
    <b v="1"/>
    <x v="0"/>
    <n v="0.86363636363636354"/>
    <n v="0.5"/>
    <n v="0.71818181818181803"/>
  </r>
  <r>
    <s v="ID000524"/>
    <x v="0"/>
    <x v="0"/>
    <s v="Technova"/>
    <x v="1"/>
    <n v="13"/>
    <n v="11000"/>
    <d v="2020-12-05T00:00:00"/>
    <n v="3"/>
    <x v="0"/>
    <n v="1"/>
    <n v="9.0909090909090904E-5"/>
    <b v="0"/>
    <b v="1"/>
    <x v="0"/>
    <n v="0.86363636363636354"/>
    <n v="0.5"/>
    <n v="0.71818181818181803"/>
  </r>
  <r>
    <s v="ID000480"/>
    <x v="0"/>
    <x v="0"/>
    <s v="Dataverse"/>
    <x v="0"/>
    <n v="5"/>
    <n v="15000"/>
    <d v="2013-03-05T00:00:00"/>
    <n v="5"/>
    <x v="0"/>
    <n v="1"/>
    <n v="6.666666666666667E-5"/>
    <b v="0"/>
    <b v="0"/>
    <x v="0"/>
    <n v="0.5"/>
    <n v="1"/>
    <n v="0.7"/>
  </r>
  <r>
    <s v="ID000875"/>
    <x v="1"/>
    <x v="1"/>
    <s v="Dataverse"/>
    <x v="0"/>
    <n v="15"/>
    <n v="10000"/>
    <d v="2012-11-13T00:00:00"/>
    <n v="2"/>
    <x v="0"/>
    <n v="1"/>
    <n v="1E-4"/>
    <b v="0"/>
    <b v="1"/>
    <x v="0"/>
    <n v="1"/>
    <n v="0.25"/>
    <n v="0.7"/>
  </r>
  <r>
    <s v="ID000572"/>
    <x v="1"/>
    <x v="1"/>
    <s v="Dataverse"/>
    <x v="0"/>
    <n v="25"/>
    <n v="13000"/>
    <d v="2014-02-23T00:00:00"/>
    <n v="4"/>
    <x v="0"/>
    <n v="1"/>
    <n v="7.6923076923076926E-5"/>
    <b v="1"/>
    <b v="1"/>
    <x v="0"/>
    <n v="0.65384615384615385"/>
    <n v="0.75"/>
    <n v="0.69230769230769229"/>
  </r>
  <r>
    <s v="ID000574"/>
    <x v="1"/>
    <x v="1"/>
    <s v="Dataverse"/>
    <x v="0"/>
    <n v="4"/>
    <n v="13000"/>
    <d v="2023-04-14T00:00:00"/>
    <n v="4"/>
    <x v="0"/>
    <n v="1"/>
    <n v="7.6923076923076926E-5"/>
    <b v="0"/>
    <b v="0"/>
    <x v="0"/>
    <n v="0.65384615384615385"/>
    <n v="0.75"/>
    <n v="0.69230769230769229"/>
  </r>
  <r>
    <s v="ID000348"/>
    <x v="2"/>
    <x v="2"/>
    <s v="Dataverse"/>
    <x v="0"/>
    <n v="16"/>
    <n v="31000"/>
    <d v="2010-05-27T00:00:00"/>
    <n v="5"/>
    <x v="1"/>
    <n v="2"/>
    <n v="6.4516129032258067E-5"/>
    <b v="1"/>
    <b v="1"/>
    <x v="0"/>
    <n v="0.46774193548387094"/>
    <n v="1"/>
    <n v="0.6806451612903226"/>
  </r>
  <r>
    <s v="ID000437"/>
    <x v="2"/>
    <x v="2"/>
    <s v="Technova"/>
    <x v="1"/>
    <n v="1"/>
    <n v="31000"/>
    <d v="2023-11-15T00:00:00"/>
    <n v="5"/>
    <x v="1"/>
    <n v="2"/>
    <n v="6.4516129032258067E-5"/>
    <b v="0"/>
    <b v="0"/>
    <x v="0"/>
    <n v="0.46774193548387094"/>
    <n v="1"/>
    <n v="0.6806451612903226"/>
  </r>
  <r>
    <s v="ID000598"/>
    <x v="3"/>
    <x v="3"/>
    <s v="Technova"/>
    <x v="1"/>
    <n v="6"/>
    <n v="31000"/>
    <d v="2005-02-11T00:00:00"/>
    <n v="5"/>
    <x v="1"/>
    <n v="2"/>
    <n v="6.4516129032258067E-5"/>
    <b v="0"/>
    <b v="1"/>
    <x v="0"/>
    <n v="0.46774193548387094"/>
    <n v="1"/>
    <n v="0.6806451612903226"/>
  </r>
  <r>
    <s v="ID000643"/>
    <x v="3"/>
    <x v="3"/>
    <s v="Dataverse"/>
    <x v="0"/>
    <n v="15"/>
    <n v="31000"/>
    <d v="2013-09-13T00:00:00"/>
    <n v="5"/>
    <x v="1"/>
    <n v="2"/>
    <n v="6.4516129032258067E-5"/>
    <b v="0"/>
    <b v="1"/>
    <x v="0"/>
    <n v="0.46774193548387094"/>
    <n v="1"/>
    <n v="0.6806451612903226"/>
  </r>
  <r>
    <s v="ID000655"/>
    <x v="3"/>
    <x v="3"/>
    <s v="Dataverse"/>
    <x v="0"/>
    <n v="14"/>
    <n v="31000"/>
    <d v="2011-05-28T00:00:00"/>
    <n v="5"/>
    <x v="1"/>
    <n v="2"/>
    <n v="6.4516129032258067E-5"/>
    <b v="0"/>
    <b v="1"/>
    <x v="0"/>
    <n v="0.46774193548387094"/>
    <n v="1"/>
    <n v="0.6806451612903226"/>
  </r>
  <r>
    <s v="ID000727"/>
    <x v="3"/>
    <x v="3"/>
    <s v="Technova"/>
    <x v="1"/>
    <n v="5"/>
    <n v="31000"/>
    <d v="2009-04-07T00:00:00"/>
    <n v="5"/>
    <x v="1"/>
    <n v="2"/>
    <n v="6.4516129032258067E-5"/>
    <b v="0"/>
    <b v="0"/>
    <x v="0"/>
    <n v="0.46774193548387094"/>
    <n v="1"/>
    <n v="0.6806451612903226"/>
  </r>
  <r>
    <s v="ID000822"/>
    <x v="3"/>
    <x v="3"/>
    <s v="Dataverse"/>
    <x v="0"/>
    <n v="9"/>
    <n v="31000"/>
    <d v="2018-03-24T00:00:00"/>
    <n v="5"/>
    <x v="1"/>
    <n v="2"/>
    <n v="6.4516129032258067E-5"/>
    <b v="0"/>
    <b v="1"/>
    <x v="0"/>
    <n v="0.46774193548387094"/>
    <n v="1"/>
    <n v="0.6806451612903226"/>
  </r>
  <r>
    <s v="ID000825"/>
    <x v="3"/>
    <x v="3"/>
    <s v="Dataverse"/>
    <x v="0"/>
    <n v="10"/>
    <n v="31000"/>
    <d v="2022-09-28T00:00:00"/>
    <n v="5"/>
    <x v="1"/>
    <n v="2"/>
    <n v="6.4516129032258067E-5"/>
    <b v="0"/>
    <b v="1"/>
    <x v="0"/>
    <n v="0.46774193548387094"/>
    <n v="1"/>
    <n v="0.6806451612903226"/>
  </r>
  <r>
    <s v="ID000869"/>
    <x v="4"/>
    <x v="4"/>
    <s v="Dataverse"/>
    <x v="0"/>
    <n v="21"/>
    <n v="31000"/>
    <d v="2009-01-11T00:00:00"/>
    <n v="5"/>
    <x v="1"/>
    <n v="2"/>
    <n v="6.4516129032258067E-5"/>
    <b v="1"/>
    <b v="1"/>
    <x v="0"/>
    <n v="0.46774193548387094"/>
    <n v="1"/>
    <n v="0.6806451612903226"/>
  </r>
  <r>
    <s v="ID000984"/>
    <x v="4"/>
    <x v="4"/>
    <s v="Dataverse"/>
    <x v="0"/>
    <n v="20"/>
    <n v="31000"/>
    <d v="2006-10-11T00:00:00"/>
    <n v="5"/>
    <x v="1"/>
    <n v="2"/>
    <n v="6.4516129032258067E-5"/>
    <b v="1"/>
    <b v="1"/>
    <x v="0"/>
    <n v="0.46774193548387094"/>
    <n v="1"/>
    <n v="0.6806451612903226"/>
  </r>
  <r>
    <s v="ID000069"/>
    <x v="5"/>
    <x v="5"/>
    <s v="Dataverse"/>
    <x v="0"/>
    <n v="2"/>
    <n v="32000"/>
    <d v="2014-04-03T00:00:00"/>
    <n v="5"/>
    <x v="1"/>
    <n v="2"/>
    <n v="6.2500000000000001E-5"/>
    <b v="0"/>
    <b v="0"/>
    <x v="0"/>
    <n v="0.4375"/>
    <n v="1"/>
    <n v="0.66250000000000009"/>
  </r>
  <r>
    <s v="ID000178"/>
    <x v="0"/>
    <x v="0"/>
    <s v="Technova"/>
    <x v="1"/>
    <n v="1"/>
    <n v="16000"/>
    <d v="2014-04-23T00:00:00"/>
    <n v="5"/>
    <x v="0"/>
    <n v="1"/>
    <n v="6.2500000000000001E-5"/>
    <b v="0"/>
    <b v="0"/>
    <x v="0"/>
    <n v="0.4375"/>
    <n v="1"/>
    <n v="0.66250000000000009"/>
  </r>
  <r>
    <s v="ID000245"/>
    <x v="0"/>
    <x v="0"/>
    <s v="Dataverse"/>
    <x v="0"/>
    <n v="9"/>
    <n v="16000"/>
    <d v="2008-08-29T00:00:00"/>
    <n v="5"/>
    <x v="0"/>
    <n v="1"/>
    <n v="6.2500000000000001E-5"/>
    <b v="0"/>
    <b v="1"/>
    <x v="0"/>
    <n v="0.4375"/>
    <n v="1"/>
    <n v="0.66250000000000009"/>
  </r>
  <r>
    <s v="ID000292"/>
    <x v="6"/>
    <x v="6"/>
    <s v="Technova"/>
    <x v="1"/>
    <n v="6"/>
    <n v="32000"/>
    <d v="2010-08-11T00:00:00"/>
    <n v="5"/>
    <x v="1"/>
    <n v="2"/>
    <n v="6.2500000000000001E-5"/>
    <b v="0"/>
    <b v="1"/>
    <x v="0"/>
    <n v="0.4375"/>
    <n v="1"/>
    <n v="0.66250000000000009"/>
  </r>
  <r>
    <s v="ID000316"/>
    <x v="0"/>
    <x v="0"/>
    <s v="Technova"/>
    <x v="1"/>
    <n v="7"/>
    <n v="16000"/>
    <d v="2020-06-06T00:00:00"/>
    <n v="5"/>
    <x v="0"/>
    <n v="1"/>
    <n v="6.2500000000000001E-5"/>
    <b v="0"/>
    <b v="1"/>
    <x v="0"/>
    <n v="0.4375"/>
    <n v="1"/>
    <n v="0.66250000000000009"/>
  </r>
  <r>
    <s v="ID000350"/>
    <x v="2"/>
    <x v="2"/>
    <s v="Dataverse"/>
    <x v="0"/>
    <n v="8"/>
    <n v="32000"/>
    <d v="2017-01-08T00:00:00"/>
    <n v="5"/>
    <x v="1"/>
    <n v="2"/>
    <n v="6.2500000000000001E-5"/>
    <b v="0"/>
    <b v="1"/>
    <x v="0"/>
    <n v="0.4375"/>
    <n v="1"/>
    <n v="0.66250000000000009"/>
  </r>
  <r>
    <s v="ID000513"/>
    <x v="2"/>
    <x v="2"/>
    <s v="Technova"/>
    <x v="1"/>
    <n v="21"/>
    <n v="32000"/>
    <d v="2024-05-02T00:00:00"/>
    <n v="5"/>
    <x v="1"/>
    <n v="2"/>
    <n v="6.2500000000000001E-5"/>
    <b v="1"/>
    <b v="1"/>
    <x v="0"/>
    <n v="0.4375"/>
    <n v="1"/>
    <n v="0.66250000000000009"/>
  </r>
  <r>
    <s v="ID000649"/>
    <x v="3"/>
    <x v="3"/>
    <s v="Dataverse"/>
    <x v="0"/>
    <n v="12"/>
    <n v="32000"/>
    <d v="2013-03-18T00:00:00"/>
    <n v="5"/>
    <x v="1"/>
    <n v="2"/>
    <n v="6.2500000000000001E-5"/>
    <b v="0"/>
    <b v="1"/>
    <x v="0"/>
    <n v="0.4375"/>
    <n v="1"/>
    <n v="0.66250000000000009"/>
  </r>
  <r>
    <s v="ID000784"/>
    <x v="1"/>
    <x v="1"/>
    <s v="Technova"/>
    <x v="1"/>
    <n v="25"/>
    <n v="16000"/>
    <d v="2014-02-14T00:00:00"/>
    <n v="5"/>
    <x v="0"/>
    <n v="1"/>
    <n v="6.2500000000000001E-5"/>
    <b v="1"/>
    <b v="1"/>
    <x v="0"/>
    <n v="0.4375"/>
    <n v="1"/>
    <n v="0.66250000000000009"/>
  </r>
  <r>
    <s v="ID000851"/>
    <x v="3"/>
    <x v="3"/>
    <s v="Dataverse"/>
    <x v="0"/>
    <n v="23"/>
    <n v="32000"/>
    <d v="2019-08-15T00:00:00"/>
    <n v="5"/>
    <x v="1"/>
    <n v="2"/>
    <n v="6.2500000000000001E-5"/>
    <b v="1"/>
    <b v="1"/>
    <x v="0"/>
    <n v="0.4375"/>
    <n v="1"/>
    <n v="0.66250000000000009"/>
  </r>
  <r>
    <s v="ID000978"/>
    <x v="4"/>
    <x v="4"/>
    <s v="Dataverse"/>
    <x v="0"/>
    <n v="15"/>
    <n v="32000"/>
    <d v="2022-04-05T00:00:00"/>
    <n v="5"/>
    <x v="1"/>
    <n v="2"/>
    <n v="6.2500000000000001E-5"/>
    <b v="0"/>
    <b v="1"/>
    <x v="0"/>
    <n v="0.4375"/>
    <n v="1"/>
    <n v="0.66250000000000009"/>
  </r>
  <r>
    <s v="ID000042"/>
    <x v="0"/>
    <x v="0"/>
    <s v="Technova"/>
    <x v="1"/>
    <n v="23"/>
    <n v="12000"/>
    <d v="2007-08-02T00:00:00"/>
    <n v="3"/>
    <x v="0"/>
    <n v="1"/>
    <n v="8.3333333333333331E-5"/>
    <b v="1"/>
    <b v="1"/>
    <x v="0"/>
    <n v="0.74999999999999989"/>
    <n v="0.5"/>
    <n v="0.64999999999999991"/>
  </r>
  <r>
    <s v="ID000190"/>
    <x v="0"/>
    <x v="0"/>
    <s v="Technova"/>
    <x v="1"/>
    <n v="12"/>
    <n v="12000"/>
    <d v="2010-05-15T00:00:00"/>
    <n v="3"/>
    <x v="0"/>
    <n v="1"/>
    <n v="8.3333333333333331E-5"/>
    <b v="0"/>
    <b v="1"/>
    <x v="0"/>
    <n v="0.74999999999999989"/>
    <n v="0.5"/>
    <n v="0.64999999999999991"/>
  </r>
  <r>
    <s v="ID000016"/>
    <x v="5"/>
    <x v="5"/>
    <s v="Technova"/>
    <x v="1"/>
    <n v="25"/>
    <n v="33000"/>
    <d v="2007-03-04T00:00:00"/>
    <n v="5"/>
    <x v="1"/>
    <n v="2"/>
    <n v="6.0606060606060605E-5"/>
    <b v="1"/>
    <b v="1"/>
    <x v="0"/>
    <n v="0.40909090909090901"/>
    <n v="1"/>
    <n v="0.64545454545454539"/>
  </r>
  <r>
    <s v="ID000293"/>
    <x v="6"/>
    <x v="6"/>
    <s v="Technova"/>
    <x v="1"/>
    <n v="11"/>
    <n v="33000"/>
    <d v="2014-03-03T00:00:00"/>
    <n v="5"/>
    <x v="1"/>
    <n v="2"/>
    <n v="6.0606060606060605E-5"/>
    <b v="0"/>
    <b v="1"/>
    <x v="0"/>
    <n v="0.40909090909090901"/>
    <n v="1"/>
    <n v="0.64545454545454539"/>
  </r>
  <r>
    <s v="ID000772"/>
    <x v="3"/>
    <x v="3"/>
    <s v="Technova"/>
    <x v="1"/>
    <n v="4"/>
    <n v="33000"/>
    <d v="2014-03-14T00:00:00"/>
    <n v="5"/>
    <x v="1"/>
    <n v="2"/>
    <n v="6.0606060606060605E-5"/>
    <b v="0"/>
    <b v="0"/>
    <x v="0"/>
    <n v="0.40909090909090901"/>
    <n v="1"/>
    <n v="0.64545454545454539"/>
  </r>
  <r>
    <s v="ID000309"/>
    <x v="6"/>
    <x v="6"/>
    <s v="Technova"/>
    <x v="1"/>
    <n v="22"/>
    <n v="34000"/>
    <d v="2006-12-24T00:00:00"/>
    <n v="5"/>
    <x v="1"/>
    <n v="2"/>
    <n v="5.8823529411764708E-5"/>
    <b v="1"/>
    <b v="1"/>
    <x v="0"/>
    <n v="0.38235294117647056"/>
    <n v="1"/>
    <n v="0.62941176470588234"/>
  </r>
  <r>
    <s v="ID000344"/>
    <x v="6"/>
    <x v="6"/>
    <s v="Dataverse"/>
    <x v="0"/>
    <n v="10"/>
    <n v="34000"/>
    <d v="2014-04-06T00:00:00"/>
    <n v="5"/>
    <x v="1"/>
    <n v="2"/>
    <n v="5.8823529411764708E-5"/>
    <b v="0"/>
    <b v="1"/>
    <x v="0"/>
    <n v="0.38235294117647056"/>
    <n v="1"/>
    <n v="0.62941176470588234"/>
  </r>
  <r>
    <s v="ID000404"/>
    <x v="2"/>
    <x v="2"/>
    <s v="Dataverse"/>
    <x v="0"/>
    <n v="12"/>
    <n v="34000"/>
    <d v="2024-03-27T00:00:00"/>
    <n v="5"/>
    <x v="1"/>
    <n v="2"/>
    <n v="5.8823529411764708E-5"/>
    <b v="0"/>
    <b v="1"/>
    <x v="0"/>
    <n v="0.38235294117647056"/>
    <n v="1"/>
    <n v="0.62941176470588234"/>
  </r>
  <r>
    <s v="ID000418"/>
    <x v="2"/>
    <x v="2"/>
    <s v="Technova"/>
    <x v="1"/>
    <n v="3"/>
    <n v="34000"/>
    <d v="2017-06-03T00:00:00"/>
    <n v="5"/>
    <x v="1"/>
    <n v="2"/>
    <n v="5.8823529411764708E-5"/>
    <b v="0"/>
    <b v="0"/>
    <x v="0"/>
    <n v="0.38235294117647056"/>
    <n v="1"/>
    <n v="0.62941176470588234"/>
  </r>
  <r>
    <s v="ID000468"/>
    <x v="2"/>
    <x v="2"/>
    <s v="Dataverse"/>
    <x v="0"/>
    <n v="11"/>
    <n v="34000"/>
    <d v="2016-12-29T00:00:00"/>
    <n v="5"/>
    <x v="1"/>
    <n v="2"/>
    <n v="5.8823529411764708E-5"/>
    <b v="0"/>
    <b v="1"/>
    <x v="0"/>
    <n v="0.38235294117647056"/>
    <n v="1"/>
    <n v="0.62941176470588234"/>
  </r>
  <r>
    <s v="ID000514"/>
    <x v="2"/>
    <x v="2"/>
    <s v="Technova"/>
    <x v="1"/>
    <n v="20"/>
    <n v="34000"/>
    <d v="2023-02-09T00:00:00"/>
    <n v="5"/>
    <x v="1"/>
    <n v="2"/>
    <n v="5.8823529411764708E-5"/>
    <b v="1"/>
    <b v="1"/>
    <x v="0"/>
    <n v="0.38235294117647056"/>
    <n v="1"/>
    <n v="0.62941176470588234"/>
  </r>
  <r>
    <s v="ID000667"/>
    <x v="3"/>
    <x v="3"/>
    <s v="Dataverse"/>
    <x v="0"/>
    <n v="5"/>
    <n v="34000"/>
    <d v="2014-04-20T00:00:00"/>
    <n v="5"/>
    <x v="1"/>
    <n v="2"/>
    <n v="5.8823529411764708E-5"/>
    <b v="0"/>
    <b v="0"/>
    <x v="0"/>
    <n v="0.38235294117647056"/>
    <n v="1"/>
    <n v="0.62941176470588234"/>
  </r>
  <r>
    <s v="ID000829"/>
    <x v="3"/>
    <x v="3"/>
    <s v="Dataverse"/>
    <x v="0"/>
    <n v="2"/>
    <n v="34000"/>
    <d v="2022-12-04T00:00:00"/>
    <n v="5"/>
    <x v="1"/>
    <n v="2"/>
    <n v="5.8823529411764708E-5"/>
    <b v="0"/>
    <b v="0"/>
    <x v="0"/>
    <n v="0.38235294117647056"/>
    <n v="1"/>
    <n v="0.62941176470588234"/>
  </r>
  <r>
    <s v="ID000048"/>
    <x v="0"/>
    <x v="0"/>
    <s v="Technova"/>
    <x v="1"/>
    <n v="3"/>
    <n v="11000"/>
    <d v="2006-04-11T00:00:00"/>
    <n v="2"/>
    <x v="0"/>
    <n v="1"/>
    <n v="9.0909090909090904E-5"/>
    <b v="0"/>
    <b v="0"/>
    <x v="0"/>
    <n v="0.86363636363636354"/>
    <n v="0.25"/>
    <n v="0.61818181818181805"/>
  </r>
  <r>
    <s v="ID000614"/>
    <x v="1"/>
    <x v="1"/>
    <s v="Technova"/>
    <x v="1"/>
    <n v="16"/>
    <n v="11000"/>
    <d v="2005-08-21T00:00:00"/>
    <n v="2"/>
    <x v="0"/>
    <n v="1"/>
    <n v="9.0909090909090904E-5"/>
    <b v="1"/>
    <b v="1"/>
    <x v="0"/>
    <n v="0.86363636363636354"/>
    <n v="0.25"/>
    <n v="0.61818181818181805"/>
  </r>
  <r>
    <s v="ID000678"/>
    <x v="1"/>
    <x v="1"/>
    <s v="Dataverse"/>
    <x v="0"/>
    <n v="4"/>
    <n v="11000"/>
    <d v="2019-12-03T00:00:00"/>
    <n v="2"/>
    <x v="0"/>
    <n v="1"/>
    <n v="9.0909090909090904E-5"/>
    <b v="0"/>
    <b v="0"/>
    <x v="0"/>
    <n v="0.86363636363636354"/>
    <n v="0.25"/>
    <n v="0.61818181818181805"/>
  </r>
  <r>
    <s v="ID000797"/>
    <x v="1"/>
    <x v="1"/>
    <s v="Technova"/>
    <x v="1"/>
    <n v="16"/>
    <n v="11000"/>
    <d v="2017-10-08T00:00:00"/>
    <n v="2"/>
    <x v="0"/>
    <n v="1"/>
    <n v="9.0909090909090904E-5"/>
    <b v="1"/>
    <b v="1"/>
    <x v="0"/>
    <n v="0.86363636363636354"/>
    <n v="0.25"/>
    <n v="0.61818181818181805"/>
  </r>
  <r>
    <s v="ID000960"/>
    <x v="1"/>
    <x v="1"/>
    <s v="Technova"/>
    <x v="1"/>
    <n v="22"/>
    <n v="11000"/>
    <d v="2020-02-25T00:00:00"/>
    <n v="2"/>
    <x v="0"/>
    <n v="1"/>
    <n v="9.0909090909090904E-5"/>
    <b v="1"/>
    <b v="1"/>
    <x v="0"/>
    <n v="0.86363636363636354"/>
    <n v="0.25"/>
    <n v="0.61818181818181805"/>
  </r>
  <r>
    <s v="ID000998"/>
    <x v="1"/>
    <x v="1"/>
    <s v="Dataverse"/>
    <x v="0"/>
    <n v="25"/>
    <n v="11000"/>
    <d v="2018-05-11T00:00:00"/>
    <n v="2"/>
    <x v="0"/>
    <n v="1"/>
    <n v="9.0909090909090904E-5"/>
    <b v="1"/>
    <b v="1"/>
    <x v="0"/>
    <n v="0.86363636363636354"/>
    <n v="0.25"/>
    <n v="0.61818181818181805"/>
  </r>
  <r>
    <s v="ID000224"/>
    <x v="7"/>
    <x v="7"/>
    <s v="Dataverse"/>
    <x v="0"/>
    <n v="2"/>
    <n v="35000"/>
    <d v="2016-10-20T00:00:00"/>
    <n v="5"/>
    <x v="1"/>
    <n v="2"/>
    <n v="5.7142857142857142E-5"/>
    <b v="0"/>
    <b v="0"/>
    <x v="0"/>
    <n v="0.3571428571428571"/>
    <n v="1"/>
    <n v="0.61428571428571432"/>
  </r>
  <r>
    <s v="ID000264"/>
    <x v="6"/>
    <x v="6"/>
    <s v="Technova"/>
    <x v="1"/>
    <n v="21"/>
    <n v="35000"/>
    <d v="2017-05-02T00:00:00"/>
    <n v="5"/>
    <x v="1"/>
    <n v="2"/>
    <n v="5.7142857142857142E-5"/>
    <b v="1"/>
    <b v="1"/>
    <x v="0"/>
    <n v="0.3571428571428571"/>
    <n v="1"/>
    <n v="0.61428571428571432"/>
  </r>
  <r>
    <s v="ID000379"/>
    <x v="2"/>
    <x v="2"/>
    <s v="Technova"/>
    <x v="1"/>
    <n v="25"/>
    <n v="35000"/>
    <d v="2012-11-25T00:00:00"/>
    <n v="5"/>
    <x v="1"/>
    <n v="2"/>
    <n v="5.7142857142857142E-5"/>
    <b v="1"/>
    <b v="1"/>
    <x v="0"/>
    <n v="0.3571428571428571"/>
    <n v="1"/>
    <n v="0.61428571428571432"/>
  </r>
  <r>
    <s v="ID000828"/>
    <x v="3"/>
    <x v="3"/>
    <s v="Dataverse"/>
    <x v="0"/>
    <n v="20"/>
    <n v="35000"/>
    <d v="2019-12-28T00:00:00"/>
    <n v="5"/>
    <x v="1"/>
    <n v="2"/>
    <n v="5.7142857142857142E-5"/>
    <b v="1"/>
    <b v="1"/>
    <x v="0"/>
    <n v="0.3571428571428571"/>
    <n v="1"/>
    <n v="0.61428571428571432"/>
  </r>
  <r>
    <s v="ID000045"/>
    <x v="0"/>
    <x v="0"/>
    <s v="Technova"/>
    <x v="1"/>
    <n v="25"/>
    <n v="15000"/>
    <d v="2018-05-04T00:00:00"/>
    <n v="4"/>
    <x v="0"/>
    <n v="1"/>
    <n v="6.666666666666667E-5"/>
    <b v="1"/>
    <b v="1"/>
    <x v="0"/>
    <n v="0.5"/>
    <n v="0.75"/>
    <n v="0.60000000000000009"/>
  </r>
  <r>
    <s v="ID000790"/>
    <x v="1"/>
    <x v="1"/>
    <s v="Technova"/>
    <x v="1"/>
    <n v="4"/>
    <n v="15000"/>
    <d v="2009-01-31T00:00:00"/>
    <n v="4"/>
    <x v="0"/>
    <n v="1"/>
    <n v="6.666666666666667E-5"/>
    <b v="0"/>
    <b v="0"/>
    <x v="0"/>
    <n v="0.5"/>
    <n v="0.75"/>
    <n v="0.60000000000000009"/>
  </r>
  <r>
    <s v="ID000799"/>
    <x v="1"/>
    <x v="1"/>
    <s v="Technova"/>
    <x v="1"/>
    <n v="25"/>
    <n v="15000"/>
    <d v="2006-10-15T00:00:00"/>
    <n v="4"/>
    <x v="0"/>
    <n v="1"/>
    <n v="6.666666666666667E-5"/>
    <b v="1"/>
    <b v="1"/>
    <x v="0"/>
    <n v="0.5"/>
    <n v="0.75"/>
    <n v="0.60000000000000009"/>
  </r>
  <r>
    <s v="ID000882"/>
    <x v="1"/>
    <x v="1"/>
    <s v="Dataverse"/>
    <x v="0"/>
    <n v="19"/>
    <n v="15000"/>
    <d v="2020-06-02T00:00:00"/>
    <n v="4"/>
    <x v="0"/>
    <n v="1"/>
    <n v="6.666666666666667E-5"/>
    <b v="1"/>
    <b v="1"/>
    <x v="0"/>
    <n v="0.5"/>
    <n v="0.75"/>
    <n v="0.60000000000000009"/>
  </r>
  <r>
    <s v="ID000017"/>
    <x v="5"/>
    <x v="5"/>
    <s v="Technova"/>
    <x v="1"/>
    <n v="22"/>
    <n v="36000"/>
    <d v="2010-01-06T00:00:00"/>
    <n v="5"/>
    <x v="1"/>
    <n v="2"/>
    <n v="5.5555555555555558E-5"/>
    <b v="1"/>
    <b v="1"/>
    <x v="0"/>
    <n v="0.33333333333333331"/>
    <n v="1"/>
    <n v="0.6"/>
  </r>
  <r>
    <s v="ID000165"/>
    <x v="7"/>
    <x v="7"/>
    <s v="Technova"/>
    <x v="1"/>
    <n v="23"/>
    <n v="36000"/>
    <d v="2013-05-16T00:00:00"/>
    <n v="5"/>
    <x v="1"/>
    <n v="2"/>
    <n v="5.5555555555555558E-5"/>
    <b v="1"/>
    <b v="1"/>
    <x v="0"/>
    <n v="0.33333333333333331"/>
    <n v="1"/>
    <n v="0.6"/>
  </r>
  <r>
    <s v="ID000170"/>
    <x v="7"/>
    <x v="7"/>
    <s v="Technova"/>
    <x v="1"/>
    <n v="3"/>
    <n v="36000"/>
    <d v="2015-09-03T00:00:00"/>
    <n v="5"/>
    <x v="1"/>
    <n v="2"/>
    <n v="5.5555555555555558E-5"/>
    <b v="0"/>
    <b v="0"/>
    <x v="0"/>
    <n v="0.33333333333333331"/>
    <n v="1"/>
    <n v="0.6"/>
  </r>
  <r>
    <s v="ID000192"/>
    <x v="0"/>
    <x v="0"/>
    <s v="Technova"/>
    <x v="1"/>
    <n v="10"/>
    <n v="18000"/>
    <d v="2010-03-25T00:00:00"/>
    <n v="5"/>
    <x v="0"/>
    <n v="1"/>
    <n v="5.5555555555555558E-5"/>
    <b v="0"/>
    <b v="1"/>
    <x v="0"/>
    <n v="0.33333333333333331"/>
    <n v="1"/>
    <n v="0.6"/>
  </r>
  <r>
    <s v="ID000269"/>
    <x v="6"/>
    <x v="6"/>
    <s v="Technova"/>
    <x v="1"/>
    <n v="20"/>
    <n v="36000"/>
    <d v="2015-09-05T00:00:00"/>
    <n v="5"/>
    <x v="1"/>
    <n v="2"/>
    <n v="5.5555555555555558E-5"/>
    <b v="1"/>
    <b v="1"/>
    <x v="0"/>
    <n v="0.33333333333333331"/>
    <n v="1"/>
    <n v="0.6"/>
  </r>
  <r>
    <s v="ID000381"/>
    <x v="2"/>
    <x v="2"/>
    <s v="Technova"/>
    <x v="1"/>
    <n v="3"/>
    <n v="36000"/>
    <d v="2012-06-10T00:00:00"/>
    <n v="5"/>
    <x v="1"/>
    <n v="2"/>
    <n v="5.5555555555555558E-5"/>
    <b v="0"/>
    <b v="0"/>
    <x v="0"/>
    <n v="0.33333333333333331"/>
    <n v="1"/>
    <n v="0.6"/>
  </r>
  <r>
    <s v="ID000566"/>
    <x v="0"/>
    <x v="0"/>
    <s v="Dataverse"/>
    <x v="0"/>
    <n v="13"/>
    <n v="10000"/>
    <d v="2013-06-02T00:00:00"/>
    <n v="1"/>
    <x v="0"/>
    <n v="1"/>
    <n v="1E-4"/>
    <b v="0"/>
    <b v="1"/>
    <x v="0"/>
    <n v="1"/>
    <n v="0"/>
    <n v="0.6"/>
  </r>
  <r>
    <s v="ID000628"/>
    <x v="1"/>
    <x v="1"/>
    <s v="Technova"/>
    <x v="1"/>
    <n v="14"/>
    <n v="18000"/>
    <d v="2005-12-11T00:00:00"/>
    <n v="5"/>
    <x v="0"/>
    <n v="1"/>
    <n v="5.5555555555555558E-5"/>
    <b v="0"/>
    <b v="1"/>
    <x v="0"/>
    <n v="0.33333333333333331"/>
    <n v="1"/>
    <n v="0.6"/>
  </r>
  <r>
    <s v="ID000679"/>
    <x v="1"/>
    <x v="1"/>
    <s v="Dataverse"/>
    <x v="0"/>
    <n v="12"/>
    <n v="18000"/>
    <d v="2020-11-14T00:00:00"/>
    <n v="5"/>
    <x v="0"/>
    <n v="1"/>
    <n v="5.5555555555555558E-5"/>
    <b v="0"/>
    <b v="1"/>
    <x v="0"/>
    <n v="0.33333333333333331"/>
    <n v="1"/>
    <n v="0.6"/>
  </r>
  <r>
    <s v="ID000237"/>
    <x v="0"/>
    <x v="0"/>
    <s v="Dataverse"/>
    <x v="0"/>
    <n v="1"/>
    <n v="13000"/>
    <d v="2011-04-09T00:00:00"/>
    <n v="3"/>
    <x v="0"/>
    <n v="1"/>
    <n v="7.6923076923076926E-5"/>
    <b v="0"/>
    <b v="0"/>
    <x v="0"/>
    <n v="0.65384615384615385"/>
    <n v="0.5"/>
    <n v="0.59230769230769231"/>
  </r>
  <r>
    <s v="ID000241"/>
    <x v="0"/>
    <x v="0"/>
    <s v="Dataverse"/>
    <x v="0"/>
    <n v="15"/>
    <n v="13000"/>
    <d v="2020-05-12T00:00:00"/>
    <n v="3"/>
    <x v="0"/>
    <n v="1"/>
    <n v="7.6923076923076926E-5"/>
    <b v="0"/>
    <b v="1"/>
    <x v="0"/>
    <n v="0.65384615384615385"/>
    <n v="0.5"/>
    <n v="0.59230769230769231"/>
  </r>
  <r>
    <s v="ID000629"/>
    <x v="1"/>
    <x v="1"/>
    <s v="Technova"/>
    <x v="1"/>
    <n v="2"/>
    <n v="13000"/>
    <d v="2010-11-19T00:00:00"/>
    <n v="3"/>
    <x v="0"/>
    <n v="1"/>
    <n v="7.6923076923076926E-5"/>
    <b v="0"/>
    <b v="0"/>
    <x v="0"/>
    <n v="0.65384615384615385"/>
    <n v="0.5"/>
    <n v="0.59230769230769231"/>
  </r>
  <r>
    <s v="ID000268"/>
    <x v="6"/>
    <x v="6"/>
    <s v="Technova"/>
    <x v="1"/>
    <n v="15"/>
    <n v="37000"/>
    <d v="2011-11-08T00:00:00"/>
    <n v="5"/>
    <x v="1"/>
    <n v="2"/>
    <n v="5.4054054054054054E-5"/>
    <b v="0"/>
    <b v="1"/>
    <x v="0"/>
    <n v="0.31081081081081074"/>
    <n v="1"/>
    <n v="0.58648648648648649"/>
  </r>
  <r>
    <s v="ID000310"/>
    <x v="6"/>
    <x v="6"/>
    <s v="Technova"/>
    <x v="1"/>
    <n v="7"/>
    <n v="37000"/>
    <d v="2021-12-28T00:00:00"/>
    <n v="5"/>
    <x v="1"/>
    <n v="2"/>
    <n v="5.4054054054054054E-5"/>
    <b v="0"/>
    <b v="1"/>
    <x v="0"/>
    <n v="0.31081081081081074"/>
    <n v="1"/>
    <n v="0.58648648648648649"/>
  </r>
  <r>
    <s v="ID000431"/>
    <x v="2"/>
    <x v="2"/>
    <s v="Technova"/>
    <x v="1"/>
    <n v="19"/>
    <n v="37000"/>
    <d v="2011-11-19T00:00:00"/>
    <n v="5"/>
    <x v="1"/>
    <n v="2"/>
    <n v="5.4054054054054054E-5"/>
    <b v="1"/>
    <b v="1"/>
    <x v="0"/>
    <n v="0.31081081081081074"/>
    <n v="1"/>
    <n v="0.58648648648648649"/>
  </r>
  <r>
    <s v="ID000439"/>
    <x v="2"/>
    <x v="2"/>
    <s v="Technova"/>
    <x v="1"/>
    <n v="8"/>
    <n v="37000"/>
    <d v="2024-01-11T00:00:00"/>
    <n v="5"/>
    <x v="1"/>
    <n v="2"/>
    <n v="5.4054054054054054E-5"/>
    <b v="0"/>
    <b v="1"/>
    <x v="0"/>
    <n v="0.31081081081081074"/>
    <n v="1"/>
    <n v="0.58648648648648649"/>
  </r>
  <r>
    <s v="ID000457"/>
    <x v="2"/>
    <x v="2"/>
    <s v="Dataverse"/>
    <x v="0"/>
    <n v="21"/>
    <n v="37000"/>
    <d v="2012-09-07T00:00:00"/>
    <n v="5"/>
    <x v="1"/>
    <n v="2"/>
    <n v="5.4054054054054054E-5"/>
    <b v="1"/>
    <b v="1"/>
    <x v="0"/>
    <n v="0.31081081081081074"/>
    <n v="1"/>
    <n v="0.58648648648648649"/>
  </r>
  <r>
    <s v="ID000490"/>
    <x v="2"/>
    <x v="2"/>
    <s v="Technova"/>
    <x v="1"/>
    <n v="2"/>
    <n v="37000"/>
    <d v="2016-08-18T00:00:00"/>
    <n v="5"/>
    <x v="1"/>
    <n v="2"/>
    <n v="5.4054054054054054E-5"/>
    <b v="0"/>
    <b v="0"/>
    <x v="0"/>
    <n v="0.31081081081081074"/>
    <n v="1"/>
    <n v="0.58648648648648649"/>
  </r>
  <r>
    <s v="ID000549"/>
    <x v="3"/>
    <x v="3"/>
    <s v="Dataverse"/>
    <x v="0"/>
    <n v="18"/>
    <n v="37000"/>
    <d v="2007-08-18T00:00:00"/>
    <n v="5"/>
    <x v="1"/>
    <n v="2"/>
    <n v="5.4054054054054054E-5"/>
    <b v="1"/>
    <b v="1"/>
    <x v="0"/>
    <n v="0.31081081081081074"/>
    <n v="1"/>
    <n v="0.58648648648648649"/>
  </r>
  <r>
    <s v="ID000099"/>
    <x v="7"/>
    <x v="7"/>
    <s v="Dataverse"/>
    <x v="0"/>
    <n v="11"/>
    <n v="31000"/>
    <d v="2010-08-17T00:00:00"/>
    <n v="4"/>
    <x v="1"/>
    <n v="2"/>
    <n v="6.4516129032258067E-5"/>
    <b v="0"/>
    <b v="1"/>
    <x v="0"/>
    <n v="0.46774193548387094"/>
    <n v="0.75"/>
    <n v="0.58064516129032262"/>
  </r>
  <r>
    <s v="ID000101"/>
    <x v="7"/>
    <x v="7"/>
    <s v="Dataverse"/>
    <x v="0"/>
    <n v="7"/>
    <n v="31000"/>
    <d v="2012-03-22T00:00:00"/>
    <n v="4"/>
    <x v="1"/>
    <n v="2"/>
    <n v="6.4516129032258067E-5"/>
    <b v="0"/>
    <b v="1"/>
    <x v="0"/>
    <n v="0.46774193548387094"/>
    <n v="0.75"/>
    <n v="0.58064516129032262"/>
  </r>
  <r>
    <s v="ID000151"/>
    <x v="7"/>
    <x v="7"/>
    <s v="Technova"/>
    <x v="1"/>
    <n v="2"/>
    <n v="31000"/>
    <d v="2011-05-28T00:00:00"/>
    <n v="4"/>
    <x v="1"/>
    <n v="2"/>
    <n v="6.4516129032258067E-5"/>
    <b v="0"/>
    <b v="0"/>
    <x v="0"/>
    <n v="0.46774193548387094"/>
    <n v="0.75"/>
    <n v="0.58064516129032262"/>
  </r>
  <r>
    <s v="ID000204"/>
    <x v="7"/>
    <x v="7"/>
    <s v="Dataverse"/>
    <x v="0"/>
    <n v="3"/>
    <n v="31000"/>
    <d v="2009-01-28T00:00:00"/>
    <n v="4"/>
    <x v="1"/>
    <n v="2"/>
    <n v="6.4516129032258067E-5"/>
    <b v="0"/>
    <b v="0"/>
    <x v="0"/>
    <n v="0.46774193548387094"/>
    <n v="0.75"/>
    <n v="0.58064516129032262"/>
  </r>
  <r>
    <s v="ID000406"/>
    <x v="2"/>
    <x v="2"/>
    <s v="Dataverse"/>
    <x v="0"/>
    <n v="10"/>
    <n v="31000"/>
    <d v="2024-03-09T00:00:00"/>
    <n v="4"/>
    <x v="1"/>
    <n v="2"/>
    <n v="6.4516129032258067E-5"/>
    <b v="0"/>
    <b v="1"/>
    <x v="0"/>
    <n v="0.46774193548387094"/>
    <n v="0.75"/>
    <n v="0.58064516129032262"/>
  </r>
  <r>
    <s v="ID000433"/>
    <x v="2"/>
    <x v="2"/>
    <s v="Technova"/>
    <x v="1"/>
    <n v="19"/>
    <n v="31000"/>
    <d v="2004-12-13T00:00:00"/>
    <n v="4"/>
    <x v="1"/>
    <n v="2"/>
    <n v="6.4516129032258067E-5"/>
    <b v="1"/>
    <b v="1"/>
    <x v="0"/>
    <n v="0.46774193548387094"/>
    <n v="0.75"/>
    <n v="0.58064516129032262"/>
  </r>
  <r>
    <s v="ID000511"/>
    <x v="2"/>
    <x v="2"/>
    <s v="Technova"/>
    <x v="1"/>
    <n v="24"/>
    <n v="31000"/>
    <d v="2021-04-20T00:00:00"/>
    <n v="4"/>
    <x v="1"/>
    <n v="2"/>
    <n v="6.4516129032258067E-5"/>
    <b v="1"/>
    <b v="1"/>
    <x v="0"/>
    <n v="0.46774193548387094"/>
    <n v="0.75"/>
    <n v="0.58064516129032262"/>
  </r>
  <r>
    <s v="ID000606"/>
    <x v="3"/>
    <x v="3"/>
    <s v="Technova"/>
    <x v="1"/>
    <n v="15"/>
    <n v="31000"/>
    <d v="2024-06-03T00:00:00"/>
    <n v="4"/>
    <x v="1"/>
    <n v="2"/>
    <n v="6.4516129032258067E-5"/>
    <b v="0"/>
    <b v="1"/>
    <x v="0"/>
    <n v="0.46774193548387094"/>
    <n v="0.75"/>
    <n v="0.58064516129032262"/>
  </r>
  <r>
    <s v="ID000654"/>
    <x v="3"/>
    <x v="3"/>
    <s v="Dataverse"/>
    <x v="0"/>
    <n v="8"/>
    <n v="31000"/>
    <d v="2017-02-21T00:00:00"/>
    <n v="4"/>
    <x v="1"/>
    <n v="2"/>
    <n v="6.4516129032258067E-5"/>
    <b v="0"/>
    <b v="1"/>
    <x v="0"/>
    <n v="0.46774193548387094"/>
    <n v="0.75"/>
    <n v="0.58064516129032262"/>
  </r>
  <r>
    <s v="ID000921"/>
    <x v="4"/>
    <x v="4"/>
    <s v="Dataverse"/>
    <x v="0"/>
    <n v="1"/>
    <n v="31000"/>
    <d v="2018-02-14T00:00:00"/>
    <n v="4"/>
    <x v="1"/>
    <n v="2"/>
    <n v="6.4516129032258067E-5"/>
    <b v="0"/>
    <b v="0"/>
    <x v="0"/>
    <n v="0.46774193548387094"/>
    <n v="0.75"/>
    <n v="0.58064516129032262"/>
  </r>
  <r>
    <s v="ID000158"/>
    <x v="7"/>
    <x v="7"/>
    <s v="Technova"/>
    <x v="1"/>
    <n v="10"/>
    <n v="38000"/>
    <d v="2005-08-08T00:00:00"/>
    <n v="5"/>
    <x v="1"/>
    <n v="2"/>
    <n v="5.2631578947368424E-5"/>
    <b v="0"/>
    <b v="1"/>
    <x v="0"/>
    <n v="0.28947368421052633"/>
    <n v="1"/>
    <n v="0.5736842105263158"/>
  </r>
  <r>
    <s v="ID000164"/>
    <x v="7"/>
    <x v="7"/>
    <s v="Technova"/>
    <x v="1"/>
    <n v="22"/>
    <n v="38000"/>
    <d v="2008-04-04T00:00:00"/>
    <n v="5"/>
    <x v="1"/>
    <n v="2"/>
    <n v="5.2631578947368424E-5"/>
    <b v="1"/>
    <b v="1"/>
    <x v="0"/>
    <n v="0.28947368421052633"/>
    <n v="1"/>
    <n v="0.5736842105263158"/>
  </r>
  <r>
    <s v="ID000428"/>
    <x v="2"/>
    <x v="2"/>
    <s v="Technova"/>
    <x v="1"/>
    <n v="20"/>
    <n v="38000"/>
    <d v="2018-03-10T00:00:00"/>
    <n v="5"/>
    <x v="1"/>
    <n v="2"/>
    <n v="5.2631578947368424E-5"/>
    <b v="1"/>
    <b v="1"/>
    <x v="0"/>
    <n v="0.28947368421052633"/>
    <n v="1"/>
    <n v="0.5736842105263158"/>
  </r>
  <r>
    <s v="ID000971"/>
    <x v="4"/>
    <x v="4"/>
    <s v="Dataverse"/>
    <x v="0"/>
    <n v="10"/>
    <n v="38000"/>
    <d v="2018-03-13T00:00:00"/>
    <n v="5"/>
    <x v="1"/>
    <n v="2"/>
    <n v="5.2631578947368424E-5"/>
    <b v="0"/>
    <b v="1"/>
    <x v="0"/>
    <n v="0.28947368421052633"/>
    <n v="1"/>
    <n v="0.5736842105263158"/>
  </r>
  <r>
    <s v="ID000008"/>
    <x v="5"/>
    <x v="5"/>
    <s v="Technova"/>
    <x v="1"/>
    <n v="21"/>
    <n v="32000"/>
    <d v="2007-08-28T00:00:00"/>
    <n v="4"/>
    <x v="1"/>
    <n v="2"/>
    <n v="6.2500000000000001E-5"/>
    <b v="1"/>
    <b v="1"/>
    <x v="0"/>
    <n v="0.4375"/>
    <n v="0.75"/>
    <n v="0.5625"/>
  </r>
  <r>
    <s v="ID000113"/>
    <x v="0"/>
    <x v="0"/>
    <s v="Dataverse"/>
    <x v="0"/>
    <n v="10"/>
    <n v="16000"/>
    <d v="2009-12-04T00:00:00"/>
    <n v="4"/>
    <x v="0"/>
    <n v="1"/>
    <n v="6.2500000000000001E-5"/>
    <b v="0"/>
    <b v="1"/>
    <x v="0"/>
    <n v="0.4375"/>
    <n v="0.75"/>
    <n v="0.5625"/>
  </r>
  <r>
    <s v="ID000168"/>
    <x v="7"/>
    <x v="7"/>
    <s v="Technova"/>
    <x v="1"/>
    <n v="5"/>
    <n v="32000"/>
    <d v="2024-02-04T00:00:00"/>
    <n v="4"/>
    <x v="1"/>
    <n v="2"/>
    <n v="6.2500000000000001E-5"/>
    <b v="0"/>
    <b v="0"/>
    <x v="0"/>
    <n v="0.4375"/>
    <n v="0.75"/>
    <n v="0.5625"/>
  </r>
  <r>
    <s v="ID000408"/>
    <x v="0"/>
    <x v="0"/>
    <s v="Dataverse"/>
    <x v="0"/>
    <n v="7"/>
    <n v="16000"/>
    <d v="2022-01-31T00:00:00"/>
    <n v="4"/>
    <x v="0"/>
    <n v="1"/>
    <n v="6.2500000000000001E-5"/>
    <b v="0"/>
    <b v="1"/>
    <x v="0"/>
    <n v="0.4375"/>
    <n v="0.75"/>
    <n v="0.5625"/>
  </r>
  <r>
    <s v="ID000600"/>
    <x v="3"/>
    <x v="3"/>
    <s v="Technova"/>
    <x v="1"/>
    <n v="25"/>
    <n v="32000"/>
    <d v="2012-09-06T00:00:00"/>
    <n v="4"/>
    <x v="1"/>
    <n v="2"/>
    <n v="6.2500000000000001E-5"/>
    <b v="1"/>
    <b v="1"/>
    <x v="0"/>
    <n v="0.4375"/>
    <n v="0.75"/>
    <n v="0.5625"/>
  </r>
  <r>
    <s v="ID000849"/>
    <x v="3"/>
    <x v="3"/>
    <s v="Dataverse"/>
    <x v="0"/>
    <n v="25"/>
    <n v="32000"/>
    <d v="2019-02-14T00:00:00"/>
    <n v="4"/>
    <x v="1"/>
    <n v="2"/>
    <n v="6.2500000000000001E-5"/>
    <b v="1"/>
    <b v="1"/>
    <x v="0"/>
    <n v="0.4375"/>
    <n v="0.75"/>
    <n v="0.5625"/>
  </r>
  <r>
    <s v="ID000928"/>
    <x v="4"/>
    <x v="4"/>
    <s v="Dataverse"/>
    <x v="0"/>
    <n v="24"/>
    <n v="32000"/>
    <d v="2008-09-21T00:00:00"/>
    <n v="4"/>
    <x v="1"/>
    <n v="2"/>
    <n v="6.2500000000000001E-5"/>
    <b v="1"/>
    <b v="1"/>
    <x v="0"/>
    <n v="0.4375"/>
    <n v="0.75"/>
    <n v="0.5625"/>
  </r>
  <r>
    <s v="ID000405"/>
    <x v="2"/>
    <x v="2"/>
    <s v="Dataverse"/>
    <x v="0"/>
    <n v="16"/>
    <n v="39000"/>
    <d v="2012-07-05T00:00:00"/>
    <n v="5"/>
    <x v="1"/>
    <n v="2"/>
    <n v="5.1282051282051279E-5"/>
    <b v="1"/>
    <b v="1"/>
    <x v="0"/>
    <n v="0.26923076923076916"/>
    <n v="1"/>
    <n v="0.56153846153846154"/>
  </r>
  <r>
    <s v="ID000435"/>
    <x v="2"/>
    <x v="2"/>
    <s v="Technova"/>
    <x v="1"/>
    <n v="25"/>
    <n v="39000"/>
    <d v="2007-05-11T00:00:00"/>
    <n v="5"/>
    <x v="1"/>
    <n v="2"/>
    <n v="5.1282051282051279E-5"/>
    <b v="1"/>
    <b v="1"/>
    <x v="0"/>
    <n v="0.26923076923076916"/>
    <n v="1"/>
    <n v="0.56153846153846154"/>
  </r>
  <r>
    <s v="ID000498"/>
    <x v="2"/>
    <x v="2"/>
    <s v="Technova"/>
    <x v="1"/>
    <n v="24"/>
    <n v="39000"/>
    <d v="2021-10-03T00:00:00"/>
    <n v="5"/>
    <x v="1"/>
    <n v="2"/>
    <n v="5.1282051282051279E-5"/>
    <b v="1"/>
    <b v="1"/>
    <x v="0"/>
    <n v="0.26923076923076916"/>
    <n v="1"/>
    <n v="0.56153846153846154"/>
  </r>
  <r>
    <s v="ID000609"/>
    <x v="3"/>
    <x v="3"/>
    <s v="Technova"/>
    <x v="1"/>
    <n v="23"/>
    <n v="39000"/>
    <d v="2019-08-08T00:00:00"/>
    <n v="5"/>
    <x v="1"/>
    <n v="2"/>
    <n v="5.1282051282051279E-5"/>
    <b v="1"/>
    <b v="1"/>
    <x v="0"/>
    <n v="0.26923076923076916"/>
    <n v="1"/>
    <n v="0.56153846153846154"/>
  </r>
  <r>
    <s v="ID000847"/>
    <x v="3"/>
    <x v="3"/>
    <s v="Dataverse"/>
    <x v="0"/>
    <n v="11"/>
    <n v="39000"/>
    <d v="2006-08-08T00:00:00"/>
    <n v="5"/>
    <x v="1"/>
    <n v="2"/>
    <n v="5.1282051282051279E-5"/>
    <b v="0"/>
    <b v="1"/>
    <x v="0"/>
    <n v="0.26923076923076916"/>
    <n v="1"/>
    <n v="0.56153846153846154"/>
  </r>
  <r>
    <s v="ID000061"/>
    <x v="5"/>
    <x v="5"/>
    <s v="Dataverse"/>
    <x v="0"/>
    <n v="1"/>
    <n v="40000"/>
    <d v="2019-07-22T00:00:00"/>
    <n v="5"/>
    <x v="1"/>
    <n v="2"/>
    <n v="5.0000000000000002E-5"/>
    <b v="0"/>
    <b v="0"/>
    <x v="0"/>
    <n v="0.25"/>
    <n v="1"/>
    <n v="0.55000000000000004"/>
  </r>
  <r>
    <s v="ID000139"/>
    <x v="7"/>
    <x v="7"/>
    <s v="Technova"/>
    <x v="1"/>
    <n v="24"/>
    <n v="40000"/>
    <d v="2008-12-26T00:00:00"/>
    <n v="5"/>
    <x v="1"/>
    <n v="2"/>
    <n v="5.0000000000000002E-5"/>
    <b v="1"/>
    <b v="1"/>
    <x v="0"/>
    <n v="0.25"/>
    <n v="1"/>
    <n v="0.55000000000000004"/>
  </r>
  <r>
    <s v="ID000226"/>
    <x v="7"/>
    <x v="7"/>
    <s v="Dataverse"/>
    <x v="0"/>
    <n v="3"/>
    <n v="40000"/>
    <d v="2005-06-30T00:00:00"/>
    <n v="5"/>
    <x v="1"/>
    <n v="2"/>
    <n v="5.0000000000000002E-5"/>
    <b v="0"/>
    <b v="0"/>
    <x v="0"/>
    <n v="0.25"/>
    <n v="1"/>
    <n v="0.55000000000000004"/>
  </r>
  <r>
    <s v="ID000568"/>
    <x v="1"/>
    <x v="1"/>
    <s v="Dataverse"/>
    <x v="0"/>
    <n v="19"/>
    <n v="20000"/>
    <d v="2012-09-05T00:00:00"/>
    <n v="5"/>
    <x v="0"/>
    <n v="1"/>
    <n v="5.0000000000000002E-5"/>
    <b v="1"/>
    <b v="1"/>
    <x v="0"/>
    <n v="0.25"/>
    <n v="1"/>
    <n v="0.55000000000000004"/>
  </r>
  <r>
    <s v="ID000603"/>
    <x v="3"/>
    <x v="3"/>
    <s v="Technova"/>
    <x v="1"/>
    <n v="16"/>
    <n v="40000"/>
    <d v="2009-02-16T00:00:00"/>
    <n v="5"/>
    <x v="1"/>
    <n v="2"/>
    <n v="5.0000000000000002E-5"/>
    <b v="1"/>
    <b v="1"/>
    <x v="0"/>
    <n v="0.25"/>
    <n v="1"/>
    <n v="0.55000000000000004"/>
  </r>
  <r>
    <s v="ID000742"/>
    <x v="3"/>
    <x v="3"/>
    <s v="Technova"/>
    <x v="1"/>
    <n v="13"/>
    <n v="40000"/>
    <d v="2014-10-20T00:00:00"/>
    <n v="5"/>
    <x v="1"/>
    <n v="2"/>
    <n v="5.0000000000000002E-5"/>
    <b v="0"/>
    <b v="1"/>
    <x v="0"/>
    <n v="0.25"/>
    <n v="1"/>
    <n v="0.55000000000000004"/>
  </r>
  <r>
    <s v="ID000820"/>
    <x v="3"/>
    <x v="3"/>
    <s v="Dataverse"/>
    <x v="0"/>
    <n v="4"/>
    <n v="40000"/>
    <d v="2008-07-28T00:00:00"/>
    <n v="5"/>
    <x v="1"/>
    <n v="2"/>
    <n v="5.0000000000000002E-5"/>
    <b v="0"/>
    <b v="0"/>
    <x v="0"/>
    <n v="0.25"/>
    <n v="1"/>
    <n v="0.55000000000000004"/>
  </r>
  <r>
    <s v="ID000893"/>
    <x v="1"/>
    <x v="1"/>
    <s v="Dataverse"/>
    <x v="0"/>
    <n v="17"/>
    <n v="20000"/>
    <d v="2009-09-27T00:00:00"/>
    <n v="5"/>
    <x v="0"/>
    <n v="1"/>
    <n v="5.0000000000000002E-5"/>
    <b v="1"/>
    <b v="1"/>
    <x v="0"/>
    <n v="0.25"/>
    <n v="1"/>
    <n v="0.55000000000000004"/>
  </r>
  <r>
    <s v="ID000945"/>
    <x v="4"/>
    <x v="4"/>
    <s v="Technova"/>
    <x v="1"/>
    <n v="10"/>
    <n v="40000"/>
    <d v="2020-01-29T00:00:00"/>
    <n v="5"/>
    <x v="1"/>
    <n v="2"/>
    <n v="5.0000000000000002E-5"/>
    <b v="0"/>
    <b v="1"/>
    <x v="0"/>
    <n v="0.25"/>
    <n v="1"/>
    <n v="0.55000000000000004"/>
  </r>
  <r>
    <s v="ID000948"/>
    <x v="4"/>
    <x v="4"/>
    <s v="Technova"/>
    <x v="1"/>
    <n v="16"/>
    <n v="40000"/>
    <d v="2024-05-20T00:00:00"/>
    <n v="5"/>
    <x v="1"/>
    <n v="2"/>
    <n v="5.0000000000000002E-5"/>
    <b v="1"/>
    <b v="1"/>
    <x v="0"/>
    <n v="0.25"/>
    <n v="1"/>
    <n v="0.55000000000000004"/>
  </r>
  <r>
    <s v="ID000049"/>
    <x v="0"/>
    <x v="0"/>
    <s v="Technova"/>
    <x v="1"/>
    <n v="1"/>
    <n v="12000"/>
    <d v="2015-11-29T00:00:00"/>
    <n v="2"/>
    <x v="0"/>
    <n v="1"/>
    <n v="8.3333333333333331E-5"/>
    <b v="0"/>
    <b v="0"/>
    <x v="0"/>
    <n v="0.74999999999999989"/>
    <n v="0.25"/>
    <n v="0.54999999999999993"/>
  </r>
  <r>
    <s v="ID000523"/>
    <x v="0"/>
    <x v="0"/>
    <s v="Technova"/>
    <x v="1"/>
    <n v="24"/>
    <n v="12000"/>
    <d v="2012-06-18T00:00:00"/>
    <n v="2"/>
    <x v="0"/>
    <n v="1"/>
    <n v="8.3333333333333331E-5"/>
    <b v="1"/>
    <b v="1"/>
    <x v="0"/>
    <n v="0.74999999999999989"/>
    <n v="0.25"/>
    <n v="0.54999999999999993"/>
  </r>
  <r>
    <s v="ID000965"/>
    <x v="1"/>
    <x v="1"/>
    <s v="Technova"/>
    <x v="1"/>
    <n v="4"/>
    <n v="12000"/>
    <d v="2017-04-09T00:00:00"/>
    <n v="2"/>
    <x v="0"/>
    <n v="1"/>
    <n v="8.3333333333333331E-5"/>
    <b v="0"/>
    <b v="0"/>
    <x v="0"/>
    <n v="0.74999999999999989"/>
    <n v="0.25"/>
    <n v="0.54999999999999993"/>
  </r>
  <r>
    <s v="ID000641"/>
    <x v="3"/>
    <x v="3"/>
    <s v="Dataverse"/>
    <x v="0"/>
    <n v="16"/>
    <n v="33000"/>
    <d v="2009-09-14T00:00:00"/>
    <n v="4"/>
    <x v="1"/>
    <n v="2"/>
    <n v="6.0606060606060605E-5"/>
    <b v="1"/>
    <b v="1"/>
    <x v="0"/>
    <n v="0.40909090909090901"/>
    <n v="0.75"/>
    <n v="0.54545454545454541"/>
  </r>
  <r>
    <s v="ID000842"/>
    <x v="3"/>
    <x v="3"/>
    <s v="Dataverse"/>
    <x v="0"/>
    <n v="16"/>
    <n v="33000"/>
    <d v="2020-09-06T00:00:00"/>
    <n v="4"/>
    <x v="1"/>
    <n v="2"/>
    <n v="6.0606060606060605E-5"/>
    <b v="1"/>
    <b v="1"/>
    <x v="0"/>
    <n v="0.40909090909090901"/>
    <n v="0.75"/>
    <n v="0.54545454545454541"/>
  </r>
  <r>
    <s v="ID000108"/>
    <x v="0"/>
    <x v="0"/>
    <s v="Dataverse"/>
    <x v="0"/>
    <n v="5"/>
    <n v="14000"/>
    <d v="2013-02-28T00:00:00"/>
    <n v="3"/>
    <x v="0"/>
    <n v="1"/>
    <n v="7.1428571428571434E-5"/>
    <b v="0"/>
    <b v="0"/>
    <x v="0"/>
    <n v="0.57142857142857151"/>
    <n v="0.5"/>
    <n v="0.54285714285714293"/>
  </r>
  <r>
    <s v="ID000361"/>
    <x v="0"/>
    <x v="0"/>
    <s v="Dataverse"/>
    <x v="0"/>
    <n v="15"/>
    <n v="14000"/>
    <d v="2005-08-05T00:00:00"/>
    <n v="3"/>
    <x v="0"/>
    <n v="1"/>
    <n v="7.1428571428571434E-5"/>
    <b v="0"/>
    <b v="1"/>
    <x v="0"/>
    <n v="0.57142857142857151"/>
    <n v="0.5"/>
    <n v="0.54285714285714293"/>
  </r>
  <r>
    <s v="ID000449"/>
    <x v="0"/>
    <x v="0"/>
    <s v="Technova"/>
    <x v="1"/>
    <n v="3"/>
    <n v="14000"/>
    <d v="2016-06-29T00:00:00"/>
    <n v="3"/>
    <x v="0"/>
    <n v="1"/>
    <n v="7.1428571428571434E-5"/>
    <b v="0"/>
    <b v="0"/>
    <x v="0"/>
    <n v="0.57142857142857151"/>
    <n v="0.5"/>
    <n v="0.54285714285714293"/>
  </r>
  <r>
    <s v="ID000577"/>
    <x v="5"/>
    <x v="5"/>
    <s v="Technova"/>
    <x v="1"/>
    <n v="11"/>
    <n v="61000"/>
    <d v="2011-05-08T00:00:00"/>
    <n v="5"/>
    <x v="2"/>
    <n v="3"/>
    <n v="4.9180327868852456E-5"/>
    <b v="0"/>
    <b v="1"/>
    <x v="0"/>
    <n v="0.23770491803278682"/>
    <n v="1"/>
    <n v="0.54262295081967205"/>
  </r>
  <r>
    <s v="ID000917"/>
    <x v="5"/>
    <x v="5"/>
    <s v="Dataverse"/>
    <x v="0"/>
    <n v="4"/>
    <n v="61000"/>
    <d v="2012-06-26T00:00:00"/>
    <n v="5"/>
    <x v="2"/>
    <n v="3"/>
    <n v="4.9180327868852456E-5"/>
    <b v="0"/>
    <b v="0"/>
    <x v="0"/>
    <n v="0.23770491803278682"/>
    <n v="1"/>
    <n v="0.54262295081967205"/>
  </r>
  <r>
    <s v="ID000009"/>
    <x v="5"/>
    <x v="5"/>
    <s v="Technova"/>
    <x v="1"/>
    <n v="25"/>
    <n v="41000"/>
    <d v="2010-09-01T00:00:00"/>
    <n v="5"/>
    <x v="1"/>
    <n v="2"/>
    <n v="4.8780487804878051E-5"/>
    <b v="1"/>
    <b v="1"/>
    <x v="0"/>
    <n v="0.23170731707317074"/>
    <n v="1"/>
    <n v="0.53902439024390247"/>
  </r>
  <r>
    <s v="ID000086"/>
    <x v="7"/>
    <x v="7"/>
    <s v="Dataverse"/>
    <x v="0"/>
    <n v="4"/>
    <n v="41000"/>
    <d v="2020-02-22T00:00:00"/>
    <n v="5"/>
    <x v="1"/>
    <n v="2"/>
    <n v="4.8780487804878051E-5"/>
    <b v="0"/>
    <b v="0"/>
    <x v="0"/>
    <n v="0.23170731707317074"/>
    <n v="1"/>
    <n v="0.53902439024390247"/>
  </r>
  <r>
    <s v="ID000287"/>
    <x v="6"/>
    <x v="6"/>
    <s v="Technova"/>
    <x v="1"/>
    <n v="12"/>
    <n v="41000"/>
    <d v="2010-04-28T00:00:00"/>
    <n v="5"/>
    <x v="1"/>
    <n v="2"/>
    <n v="4.8780487804878051E-5"/>
    <b v="0"/>
    <b v="1"/>
    <x v="0"/>
    <n v="0.23170731707317074"/>
    <n v="1"/>
    <n v="0.53902439024390247"/>
  </r>
  <r>
    <s v="ID000334"/>
    <x v="6"/>
    <x v="6"/>
    <s v="Dataverse"/>
    <x v="0"/>
    <n v="6"/>
    <n v="41000"/>
    <d v="2023-07-14T00:00:00"/>
    <n v="5"/>
    <x v="1"/>
    <n v="2"/>
    <n v="4.8780487804878051E-5"/>
    <b v="0"/>
    <b v="1"/>
    <x v="0"/>
    <n v="0.23170731707317074"/>
    <n v="1"/>
    <n v="0.53902439024390247"/>
  </r>
  <r>
    <s v="ID000586"/>
    <x v="3"/>
    <x v="3"/>
    <s v="Technova"/>
    <x v="1"/>
    <n v="10"/>
    <n v="41000"/>
    <d v="2018-10-18T00:00:00"/>
    <n v="5"/>
    <x v="1"/>
    <n v="2"/>
    <n v="4.8780487804878051E-5"/>
    <b v="0"/>
    <b v="1"/>
    <x v="0"/>
    <n v="0.23170731707317074"/>
    <n v="1"/>
    <n v="0.53902439024390247"/>
  </r>
  <r>
    <s v="ID000588"/>
    <x v="3"/>
    <x v="3"/>
    <s v="Technova"/>
    <x v="1"/>
    <n v="8"/>
    <n v="41000"/>
    <d v="2015-05-16T00:00:00"/>
    <n v="5"/>
    <x v="1"/>
    <n v="2"/>
    <n v="4.8780487804878051E-5"/>
    <b v="0"/>
    <b v="1"/>
    <x v="0"/>
    <n v="0.23170731707317074"/>
    <n v="1"/>
    <n v="0.53902439024390247"/>
  </r>
  <r>
    <s v="ID000741"/>
    <x v="3"/>
    <x v="3"/>
    <s v="Technova"/>
    <x v="1"/>
    <n v="7"/>
    <n v="41000"/>
    <d v="2006-11-24T00:00:00"/>
    <n v="5"/>
    <x v="1"/>
    <n v="2"/>
    <n v="4.8780487804878051E-5"/>
    <b v="0"/>
    <b v="1"/>
    <x v="0"/>
    <n v="0.23170731707317074"/>
    <n v="1"/>
    <n v="0.53902439024390247"/>
  </r>
  <r>
    <s v="ID000744"/>
    <x v="3"/>
    <x v="3"/>
    <s v="Technova"/>
    <x v="1"/>
    <n v="14"/>
    <n v="41000"/>
    <d v="2008-10-25T00:00:00"/>
    <n v="5"/>
    <x v="1"/>
    <n v="2"/>
    <n v="4.8780487804878051E-5"/>
    <b v="0"/>
    <b v="1"/>
    <x v="0"/>
    <n v="0.23170731707317074"/>
    <n v="1"/>
    <n v="0.53902439024390247"/>
  </r>
  <r>
    <s v="ID000848"/>
    <x v="3"/>
    <x v="3"/>
    <s v="Dataverse"/>
    <x v="0"/>
    <n v="9"/>
    <n v="41000"/>
    <d v="2013-03-28T00:00:00"/>
    <n v="5"/>
    <x v="1"/>
    <n v="2"/>
    <n v="4.8780487804878051E-5"/>
    <b v="0"/>
    <b v="1"/>
    <x v="0"/>
    <n v="0.23170731707317074"/>
    <n v="1"/>
    <n v="0.53902439024390247"/>
  </r>
  <r>
    <s v="ID000989"/>
    <x v="4"/>
    <x v="4"/>
    <s v="Dataverse"/>
    <x v="0"/>
    <n v="6"/>
    <n v="41000"/>
    <d v="2017-02-19T00:00:00"/>
    <n v="5"/>
    <x v="1"/>
    <n v="2"/>
    <n v="4.8780487804878051E-5"/>
    <b v="0"/>
    <b v="1"/>
    <x v="0"/>
    <n v="0.23170731707317074"/>
    <n v="1"/>
    <n v="0.53902439024390247"/>
  </r>
  <r>
    <s v="ID000155"/>
    <x v="7"/>
    <x v="7"/>
    <s v="Technova"/>
    <x v="1"/>
    <n v="23"/>
    <n v="34000"/>
    <d v="2011-10-06T00:00:00"/>
    <n v="4"/>
    <x v="1"/>
    <n v="2"/>
    <n v="5.8823529411764708E-5"/>
    <b v="1"/>
    <b v="1"/>
    <x v="0"/>
    <n v="0.38235294117647056"/>
    <n v="0.75"/>
    <n v="0.52941176470588236"/>
  </r>
  <r>
    <s v="ID000335"/>
    <x v="6"/>
    <x v="6"/>
    <s v="Dataverse"/>
    <x v="0"/>
    <n v="2"/>
    <n v="34000"/>
    <d v="2023-02-11T00:00:00"/>
    <n v="4"/>
    <x v="1"/>
    <n v="2"/>
    <n v="5.8823529411764708E-5"/>
    <b v="0"/>
    <b v="0"/>
    <x v="0"/>
    <n v="0.38235294117647056"/>
    <n v="0.75"/>
    <n v="0.52941176470588236"/>
  </r>
  <r>
    <s v="ID000354"/>
    <x v="2"/>
    <x v="2"/>
    <s v="Dataverse"/>
    <x v="0"/>
    <n v="24"/>
    <n v="34000"/>
    <d v="2023-07-31T00:00:00"/>
    <n v="4"/>
    <x v="1"/>
    <n v="2"/>
    <n v="5.8823529411764708E-5"/>
    <b v="1"/>
    <b v="1"/>
    <x v="0"/>
    <n v="0.38235294117647056"/>
    <n v="0.75"/>
    <n v="0.52941176470588236"/>
  </r>
  <r>
    <s v="ID000377"/>
    <x v="2"/>
    <x v="2"/>
    <s v="Technova"/>
    <x v="1"/>
    <n v="15"/>
    <n v="34000"/>
    <d v="2019-08-15T00:00:00"/>
    <n v="4"/>
    <x v="1"/>
    <n v="2"/>
    <n v="5.8823529411764708E-5"/>
    <b v="0"/>
    <b v="1"/>
    <x v="0"/>
    <n v="0.38235294117647056"/>
    <n v="0.75"/>
    <n v="0.52941176470588236"/>
  </r>
  <r>
    <s v="ID000380"/>
    <x v="2"/>
    <x v="2"/>
    <s v="Technova"/>
    <x v="1"/>
    <n v="20"/>
    <n v="34000"/>
    <d v="2019-11-01T00:00:00"/>
    <n v="4"/>
    <x v="1"/>
    <n v="2"/>
    <n v="5.8823529411764708E-5"/>
    <b v="1"/>
    <b v="1"/>
    <x v="0"/>
    <n v="0.38235294117647056"/>
    <n v="0.75"/>
    <n v="0.52941176470588236"/>
  </r>
  <r>
    <s v="ID000476"/>
    <x v="0"/>
    <x v="0"/>
    <s v="Dataverse"/>
    <x v="0"/>
    <n v="16"/>
    <n v="17000"/>
    <d v="2010-09-12T00:00:00"/>
    <n v="4"/>
    <x v="0"/>
    <n v="1"/>
    <n v="5.8823529411764708E-5"/>
    <b v="1"/>
    <b v="1"/>
    <x v="0"/>
    <n v="0.38235294117647056"/>
    <n v="0.75"/>
    <n v="0.52941176470588236"/>
  </r>
  <r>
    <s v="ID000599"/>
    <x v="3"/>
    <x v="3"/>
    <s v="Technova"/>
    <x v="1"/>
    <n v="20"/>
    <n v="34000"/>
    <d v="2013-05-11T00:00:00"/>
    <n v="4"/>
    <x v="1"/>
    <n v="2"/>
    <n v="5.8823529411764708E-5"/>
    <b v="1"/>
    <b v="1"/>
    <x v="0"/>
    <n v="0.38235294117647056"/>
    <n v="0.75"/>
    <n v="0.52941176470588236"/>
  </r>
  <r>
    <s v="ID000140"/>
    <x v="7"/>
    <x v="7"/>
    <s v="Technova"/>
    <x v="1"/>
    <n v="13"/>
    <n v="42000"/>
    <d v="2020-07-05T00:00:00"/>
    <n v="5"/>
    <x v="1"/>
    <n v="2"/>
    <n v="4.761904761904762E-5"/>
    <b v="0"/>
    <b v="1"/>
    <x v="0"/>
    <n v="0.21428571428571427"/>
    <n v="1"/>
    <n v="0.52857142857142858"/>
  </r>
  <r>
    <s v="ID000282"/>
    <x v="6"/>
    <x v="6"/>
    <s v="Technova"/>
    <x v="1"/>
    <n v="19"/>
    <n v="42000"/>
    <d v="2018-06-22T00:00:00"/>
    <n v="5"/>
    <x v="1"/>
    <n v="2"/>
    <n v="4.761904761904762E-5"/>
    <b v="1"/>
    <b v="1"/>
    <x v="0"/>
    <n v="0.21428571428571427"/>
    <n v="1"/>
    <n v="0.52857142857142858"/>
  </r>
  <r>
    <s v="ID000383"/>
    <x v="2"/>
    <x v="2"/>
    <s v="Technova"/>
    <x v="1"/>
    <n v="12"/>
    <n v="42000"/>
    <d v="2007-05-19T00:00:00"/>
    <n v="5"/>
    <x v="1"/>
    <n v="2"/>
    <n v="4.761904761904762E-5"/>
    <b v="0"/>
    <b v="1"/>
    <x v="0"/>
    <n v="0.21428571428571427"/>
    <n v="1"/>
    <n v="0.52857142857142858"/>
  </r>
  <r>
    <s v="ID000443"/>
    <x v="0"/>
    <x v="0"/>
    <s v="Technova"/>
    <x v="1"/>
    <n v="24"/>
    <n v="21000"/>
    <d v="2019-11-26T00:00:00"/>
    <n v="5"/>
    <x v="0"/>
    <n v="1"/>
    <n v="4.761904761904762E-5"/>
    <b v="1"/>
    <b v="1"/>
    <x v="0"/>
    <n v="0.21428571428571427"/>
    <n v="1"/>
    <n v="0.52857142857142858"/>
  </r>
  <r>
    <s v="ID000681"/>
    <x v="1"/>
    <x v="1"/>
    <s v="Dataverse"/>
    <x v="0"/>
    <n v="12"/>
    <n v="21000"/>
    <d v="2024-05-19T00:00:00"/>
    <n v="5"/>
    <x v="0"/>
    <n v="1"/>
    <n v="4.761904761904762E-5"/>
    <b v="0"/>
    <b v="1"/>
    <x v="0"/>
    <n v="0.21428571428571427"/>
    <n v="1"/>
    <n v="0.52857142857142858"/>
  </r>
  <r>
    <s v="ID000767"/>
    <x v="3"/>
    <x v="3"/>
    <s v="Technova"/>
    <x v="1"/>
    <n v="19"/>
    <n v="42000"/>
    <d v="2010-12-12T00:00:00"/>
    <n v="5"/>
    <x v="1"/>
    <n v="2"/>
    <n v="4.761904761904762E-5"/>
    <b v="1"/>
    <b v="1"/>
    <x v="0"/>
    <n v="0.21428571428571427"/>
    <n v="1"/>
    <n v="0.52857142857142858"/>
  </r>
  <r>
    <s v="ID000793"/>
    <x v="1"/>
    <x v="1"/>
    <s v="Technova"/>
    <x v="1"/>
    <n v="17"/>
    <n v="21000"/>
    <d v="2014-09-23T00:00:00"/>
    <n v="5"/>
    <x v="0"/>
    <n v="1"/>
    <n v="4.761904761904762E-5"/>
    <b v="1"/>
    <b v="1"/>
    <x v="0"/>
    <n v="0.21428571428571427"/>
    <n v="1"/>
    <n v="0.52857142857142858"/>
  </r>
  <r>
    <s v="ID000862"/>
    <x v="3"/>
    <x v="3"/>
    <s v="Dataverse"/>
    <x v="0"/>
    <n v="20"/>
    <n v="42000"/>
    <d v="2006-10-20T00:00:00"/>
    <n v="5"/>
    <x v="1"/>
    <n v="2"/>
    <n v="4.761904761904762E-5"/>
    <b v="1"/>
    <b v="1"/>
    <x v="0"/>
    <n v="0.21428571428571427"/>
    <n v="1"/>
    <n v="0.52857142857142858"/>
  </r>
  <r>
    <s v="ID000953"/>
    <x v="4"/>
    <x v="4"/>
    <s v="Technova"/>
    <x v="1"/>
    <n v="5"/>
    <n v="42000"/>
    <d v="2018-09-07T00:00:00"/>
    <n v="5"/>
    <x v="1"/>
    <n v="2"/>
    <n v="4.761904761904762E-5"/>
    <b v="0"/>
    <b v="0"/>
    <x v="0"/>
    <n v="0.21428571428571427"/>
    <n v="1"/>
    <n v="0.52857142857142858"/>
  </r>
  <r>
    <s v="ID000994"/>
    <x v="1"/>
    <x v="1"/>
    <s v="Dataverse"/>
    <x v="0"/>
    <n v="12"/>
    <n v="21000"/>
    <d v="2008-08-19T00:00:00"/>
    <n v="5"/>
    <x v="0"/>
    <n v="1"/>
    <n v="4.761904761904762E-5"/>
    <b v="0"/>
    <b v="1"/>
    <x v="0"/>
    <n v="0.21428571428571427"/>
    <n v="1"/>
    <n v="0.52857142857142858"/>
  </r>
  <r>
    <s v="ID000057"/>
    <x v="8"/>
    <x v="8"/>
    <s v="Dataverse"/>
    <x v="0"/>
    <n v="9"/>
    <n v="64000"/>
    <d v="2009-05-28T00:00:00"/>
    <n v="5"/>
    <x v="2"/>
    <n v="3"/>
    <n v="4.6875000000000001E-5"/>
    <b v="0"/>
    <b v="1"/>
    <x v="0"/>
    <n v="0.20312499999999997"/>
    <n v="1"/>
    <n v="0.52187499999999998"/>
  </r>
  <r>
    <s v="ID000940"/>
    <x v="5"/>
    <x v="5"/>
    <s v="Technova"/>
    <x v="1"/>
    <n v="18"/>
    <n v="64000"/>
    <d v="2023-08-16T00:00:00"/>
    <n v="5"/>
    <x v="2"/>
    <n v="3"/>
    <n v="4.6875000000000001E-5"/>
    <b v="1"/>
    <b v="1"/>
    <x v="0"/>
    <n v="0.20312499999999997"/>
    <n v="1"/>
    <n v="0.52187499999999998"/>
  </r>
  <r>
    <s v="ID000023"/>
    <x v="5"/>
    <x v="5"/>
    <s v="Technova"/>
    <x v="1"/>
    <n v="22"/>
    <n v="43000"/>
    <d v="2011-11-25T00:00:00"/>
    <n v="5"/>
    <x v="1"/>
    <n v="2"/>
    <n v="4.6511627906976741E-5"/>
    <b v="1"/>
    <b v="1"/>
    <x v="0"/>
    <n v="0.1976744186046511"/>
    <n v="1"/>
    <n v="0.51860465116279064"/>
  </r>
  <r>
    <s v="ID000082"/>
    <x v="7"/>
    <x v="7"/>
    <s v="Dataverse"/>
    <x v="0"/>
    <n v="23"/>
    <n v="43000"/>
    <d v="2010-11-04T00:00:00"/>
    <n v="5"/>
    <x v="1"/>
    <n v="2"/>
    <n v="4.6511627906976741E-5"/>
    <b v="1"/>
    <b v="1"/>
    <x v="0"/>
    <n v="0.1976744186046511"/>
    <n v="1"/>
    <n v="0.51860465116279064"/>
  </r>
  <r>
    <s v="ID000152"/>
    <x v="7"/>
    <x v="7"/>
    <s v="Technova"/>
    <x v="1"/>
    <n v="7"/>
    <n v="43000"/>
    <d v="2012-10-07T00:00:00"/>
    <n v="5"/>
    <x v="1"/>
    <n v="2"/>
    <n v="4.6511627906976741E-5"/>
    <b v="0"/>
    <b v="1"/>
    <x v="0"/>
    <n v="0.1976744186046511"/>
    <n v="1"/>
    <n v="0.51860465116279064"/>
  </r>
  <r>
    <s v="ID000217"/>
    <x v="7"/>
    <x v="7"/>
    <s v="Dataverse"/>
    <x v="0"/>
    <n v="3"/>
    <n v="43000"/>
    <d v="2014-11-16T00:00:00"/>
    <n v="5"/>
    <x v="1"/>
    <n v="2"/>
    <n v="4.6511627906976741E-5"/>
    <b v="0"/>
    <b v="0"/>
    <x v="0"/>
    <n v="0.1976744186046511"/>
    <n v="1"/>
    <n v="0.51860465116279064"/>
  </r>
  <r>
    <s v="ID000463"/>
    <x v="2"/>
    <x v="2"/>
    <s v="Dataverse"/>
    <x v="0"/>
    <n v="23"/>
    <n v="43000"/>
    <d v="2004-11-17T00:00:00"/>
    <n v="5"/>
    <x v="1"/>
    <n v="2"/>
    <n v="4.6511627906976741E-5"/>
    <b v="1"/>
    <b v="1"/>
    <x v="0"/>
    <n v="0.1976744186046511"/>
    <n v="1"/>
    <n v="0.51860465116279064"/>
  </r>
  <r>
    <s v="ID000591"/>
    <x v="3"/>
    <x v="3"/>
    <s v="Technova"/>
    <x v="1"/>
    <n v="13"/>
    <n v="43000"/>
    <d v="2016-02-12T00:00:00"/>
    <n v="5"/>
    <x v="1"/>
    <n v="2"/>
    <n v="4.6511627906976741E-5"/>
    <b v="0"/>
    <b v="1"/>
    <x v="0"/>
    <n v="0.1976744186046511"/>
    <n v="1"/>
    <n v="0.51860465116279064"/>
  </r>
  <r>
    <s v="ID000719"/>
    <x v="3"/>
    <x v="3"/>
    <s v="Technova"/>
    <x v="1"/>
    <n v="6"/>
    <n v="43000"/>
    <d v="2011-08-23T00:00:00"/>
    <n v="5"/>
    <x v="1"/>
    <n v="2"/>
    <n v="4.6511627906976741E-5"/>
    <b v="0"/>
    <b v="1"/>
    <x v="0"/>
    <n v="0.1976744186046511"/>
    <n v="1"/>
    <n v="0.51860465116279064"/>
  </r>
  <r>
    <s v="ID000823"/>
    <x v="3"/>
    <x v="3"/>
    <s v="Dataverse"/>
    <x v="0"/>
    <n v="2"/>
    <n v="43000"/>
    <d v="2013-05-18T00:00:00"/>
    <n v="5"/>
    <x v="1"/>
    <n v="2"/>
    <n v="4.6511627906976741E-5"/>
    <b v="0"/>
    <b v="0"/>
    <x v="0"/>
    <n v="0.1976744186046511"/>
    <n v="1"/>
    <n v="0.51860465116279064"/>
  </r>
  <r>
    <s v="ID000314"/>
    <x v="0"/>
    <x v="0"/>
    <s v="Technova"/>
    <x v="1"/>
    <n v="15"/>
    <n v="11000"/>
    <d v="2018-06-09T00:00:00"/>
    <n v="1"/>
    <x v="0"/>
    <n v="1"/>
    <n v="9.0909090909090904E-5"/>
    <b v="0"/>
    <b v="1"/>
    <x v="0"/>
    <n v="0.86363636363636354"/>
    <n v="0"/>
    <n v="0.51818181818181808"/>
  </r>
  <r>
    <s v="ID000124"/>
    <x v="8"/>
    <x v="8"/>
    <s v="Technova"/>
    <x v="1"/>
    <n v="23"/>
    <n v="65000"/>
    <d v="2023-09-09T00:00:00"/>
    <n v="5"/>
    <x v="2"/>
    <n v="3"/>
    <n v="4.6153846153846151E-5"/>
    <b v="1"/>
    <b v="1"/>
    <x v="0"/>
    <n v="0.19230769230769224"/>
    <n v="1"/>
    <n v="0.51538461538461533"/>
  </r>
  <r>
    <s v="ID000696"/>
    <x v="5"/>
    <x v="5"/>
    <s v="Technova"/>
    <x v="1"/>
    <n v="18"/>
    <n v="65000"/>
    <d v="2010-02-02T00:00:00"/>
    <n v="5"/>
    <x v="2"/>
    <n v="3"/>
    <n v="4.6153846153846151E-5"/>
    <b v="1"/>
    <b v="1"/>
    <x v="0"/>
    <n v="0.19230769230769224"/>
    <n v="1"/>
    <n v="0.51538461538461533"/>
  </r>
  <r>
    <s v="ID000014"/>
    <x v="5"/>
    <x v="5"/>
    <s v="Technova"/>
    <x v="1"/>
    <n v="14"/>
    <n v="35000"/>
    <d v="2015-12-19T00:00:00"/>
    <n v="4"/>
    <x v="1"/>
    <n v="2"/>
    <n v="5.7142857142857142E-5"/>
    <b v="0"/>
    <b v="1"/>
    <x v="0"/>
    <n v="0.3571428571428571"/>
    <n v="0.75"/>
    <n v="0.51428571428571423"/>
  </r>
  <r>
    <s v="ID000261"/>
    <x v="6"/>
    <x v="6"/>
    <s v="Technova"/>
    <x v="1"/>
    <n v="23"/>
    <n v="35000"/>
    <d v="2022-11-21T00:00:00"/>
    <n v="4"/>
    <x v="1"/>
    <n v="2"/>
    <n v="5.7142857142857142E-5"/>
    <b v="1"/>
    <b v="1"/>
    <x v="0"/>
    <n v="0.3571428571428571"/>
    <n v="0.75"/>
    <n v="0.51428571428571423"/>
  </r>
  <r>
    <s v="ID000515"/>
    <x v="2"/>
    <x v="2"/>
    <s v="Technova"/>
    <x v="1"/>
    <n v="19"/>
    <n v="35000"/>
    <d v="2021-07-01T00:00:00"/>
    <n v="4"/>
    <x v="1"/>
    <n v="2"/>
    <n v="5.7142857142857142E-5"/>
    <b v="1"/>
    <b v="1"/>
    <x v="0"/>
    <n v="0.3571428571428571"/>
    <n v="0.75"/>
    <n v="0.51428571428571423"/>
  </r>
  <r>
    <s v="ID000546"/>
    <x v="3"/>
    <x v="3"/>
    <s v="Dataverse"/>
    <x v="0"/>
    <n v="4"/>
    <n v="35000"/>
    <d v="2021-06-28T00:00:00"/>
    <n v="4"/>
    <x v="1"/>
    <n v="2"/>
    <n v="5.7142857142857142E-5"/>
    <b v="0"/>
    <b v="0"/>
    <x v="0"/>
    <n v="0.3571428571428571"/>
    <n v="0.75"/>
    <n v="0.51428571428571423"/>
  </r>
  <r>
    <s v="ID000184"/>
    <x v="0"/>
    <x v="0"/>
    <s v="Technova"/>
    <x v="1"/>
    <n v="21"/>
    <n v="22000"/>
    <d v="2005-10-19T00:00:00"/>
    <n v="5"/>
    <x v="0"/>
    <n v="1"/>
    <n v="4.5454545454545452E-5"/>
    <b v="1"/>
    <b v="1"/>
    <x v="0"/>
    <n v="0.18181818181818174"/>
    <n v="1"/>
    <n v="0.50909090909090904"/>
  </r>
  <r>
    <s v="ID000289"/>
    <x v="6"/>
    <x v="6"/>
    <s v="Technova"/>
    <x v="1"/>
    <n v="11"/>
    <n v="44000"/>
    <d v="2010-08-10T00:00:00"/>
    <n v="5"/>
    <x v="1"/>
    <n v="2"/>
    <n v="4.5454545454545452E-5"/>
    <b v="0"/>
    <b v="1"/>
    <x v="0"/>
    <n v="0.18181818181818174"/>
    <n v="1"/>
    <n v="0.50909090909090904"/>
  </r>
  <r>
    <s v="ID000397"/>
    <x v="9"/>
    <x v="9"/>
    <s v="Dataverse"/>
    <x v="0"/>
    <n v="15"/>
    <n v="66000"/>
    <d v="2008-10-01T00:00:00"/>
    <n v="5"/>
    <x v="2"/>
    <n v="3"/>
    <n v="4.5454545454545452E-5"/>
    <b v="0"/>
    <b v="1"/>
    <x v="0"/>
    <n v="0.18181818181818174"/>
    <n v="1"/>
    <n v="0.50909090909090904"/>
  </r>
  <r>
    <s v="ID000503"/>
    <x v="2"/>
    <x v="2"/>
    <s v="Technova"/>
    <x v="1"/>
    <n v="22"/>
    <n v="44000"/>
    <d v="2013-09-29T00:00:00"/>
    <n v="5"/>
    <x v="1"/>
    <n v="2"/>
    <n v="4.5454545454545452E-5"/>
    <b v="1"/>
    <b v="1"/>
    <x v="0"/>
    <n v="0.18181818181818174"/>
    <n v="1"/>
    <n v="0.50909090909090904"/>
  </r>
  <r>
    <s v="ID000519"/>
    <x v="0"/>
    <x v="0"/>
    <s v="Technova"/>
    <x v="1"/>
    <n v="25"/>
    <n v="22000"/>
    <d v="2018-09-21T00:00:00"/>
    <n v="5"/>
    <x v="0"/>
    <n v="1"/>
    <n v="4.5454545454545452E-5"/>
    <b v="1"/>
    <b v="1"/>
    <x v="0"/>
    <n v="0.18181818181818174"/>
    <n v="1"/>
    <n v="0.50909090909090904"/>
  </r>
  <r>
    <s v="ID000843"/>
    <x v="3"/>
    <x v="3"/>
    <s v="Dataverse"/>
    <x v="0"/>
    <n v="25"/>
    <n v="44000"/>
    <d v="2019-02-25T00:00:00"/>
    <n v="5"/>
    <x v="1"/>
    <n v="2"/>
    <n v="4.5454545454545452E-5"/>
    <b v="1"/>
    <b v="1"/>
    <x v="0"/>
    <n v="0.18181818181818174"/>
    <n v="1"/>
    <n v="0.50909090909090904"/>
  </r>
  <r>
    <s v="ID000880"/>
    <x v="1"/>
    <x v="1"/>
    <s v="Dataverse"/>
    <x v="0"/>
    <n v="10"/>
    <n v="22000"/>
    <d v="2022-01-26T00:00:00"/>
    <n v="5"/>
    <x v="0"/>
    <n v="1"/>
    <n v="4.5454545454545452E-5"/>
    <b v="0"/>
    <b v="1"/>
    <x v="0"/>
    <n v="0.18181818181818174"/>
    <n v="1"/>
    <n v="0.50909090909090904"/>
  </r>
  <r>
    <s v="ID000200"/>
    <x v="8"/>
    <x v="8"/>
    <s v="Dataverse"/>
    <x v="0"/>
    <n v="18"/>
    <n v="67000"/>
    <d v="2020-10-17T00:00:00"/>
    <n v="5"/>
    <x v="2"/>
    <n v="3"/>
    <n v="4.4776119402985078E-5"/>
    <b v="1"/>
    <b v="1"/>
    <x v="0"/>
    <n v="0.17164179104477614"/>
    <n v="1"/>
    <n v="0.5029850746268657"/>
  </r>
  <r>
    <s v="ID000034"/>
    <x v="5"/>
    <x v="5"/>
    <s v="Technova"/>
    <x v="1"/>
    <n v="14"/>
    <n v="45000"/>
    <d v="2016-12-14T00:00:00"/>
    <n v="5"/>
    <x v="1"/>
    <n v="2"/>
    <n v="4.4444444444444447E-5"/>
    <b v="0"/>
    <b v="1"/>
    <x v="0"/>
    <n v="0.16666666666666666"/>
    <n v="1"/>
    <n v="0.5"/>
  </r>
  <r>
    <s v="ID000104"/>
    <x v="7"/>
    <x v="7"/>
    <s v="Dataverse"/>
    <x v="0"/>
    <n v="20"/>
    <n v="36000"/>
    <d v="2015-03-07T00:00:00"/>
    <n v="4"/>
    <x v="1"/>
    <n v="2"/>
    <n v="5.5555555555555558E-5"/>
    <b v="1"/>
    <b v="1"/>
    <x v="0"/>
    <n v="0.33333333333333331"/>
    <n v="0.75"/>
    <n v="0.5"/>
  </r>
  <r>
    <s v="ID000116"/>
    <x v="0"/>
    <x v="0"/>
    <s v="Dataverse"/>
    <x v="0"/>
    <n v="7"/>
    <n v="18000"/>
    <d v="2009-10-03T00:00:00"/>
    <n v="4"/>
    <x v="0"/>
    <n v="1"/>
    <n v="5.5555555555555558E-5"/>
    <b v="0"/>
    <b v="1"/>
    <x v="0"/>
    <n v="0.33333333333333331"/>
    <n v="0.75"/>
    <n v="0.5"/>
  </r>
  <r>
    <s v="ID000138"/>
    <x v="7"/>
    <x v="7"/>
    <s v="Technova"/>
    <x v="1"/>
    <n v="7"/>
    <n v="45000"/>
    <d v="2019-10-14T00:00:00"/>
    <n v="5"/>
    <x v="1"/>
    <n v="2"/>
    <n v="4.4444444444444447E-5"/>
    <b v="0"/>
    <b v="1"/>
    <x v="0"/>
    <n v="0.16666666666666666"/>
    <n v="1"/>
    <n v="0.5"/>
  </r>
  <r>
    <s v="ID000216"/>
    <x v="7"/>
    <x v="7"/>
    <s v="Dataverse"/>
    <x v="0"/>
    <n v="23"/>
    <n v="45000"/>
    <d v="2014-11-14T00:00:00"/>
    <n v="5"/>
    <x v="1"/>
    <n v="2"/>
    <n v="4.4444444444444447E-5"/>
    <b v="1"/>
    <b v="1"/>
    <x v="0"/>
    <n v="0.16666666666666666"/>
    <n v="1"/>
    <n v="0.5"/>
  </r>
  <r>
    <s v="ID000225"/>
    <x v="7"/>
    <x v="7"/>
    <s v="Dataverse"/>
    <x v="0"/>
    <n v="16"/>
    <n v="36000"/>
    <d v="2015-11-10T00:00:00"/>
    <n v="4"/>
    <x v="1"/>
    <n v="2"/>
    <n v="5.5555555555555558E-5"/>
    <b v="1"/>
    <b v="1"/>
    <x v="0"/>
    <n v="0.33333333333333331"/>
    <n v="0.75"/>
    <n v="0.5"/>
  </r>
  <r>
    <s v="ID000401"/>
    <x v="2"/>
    <x v="2"/>
    <s v="Dataverse"/>
    <x v="0"/>
    <n v="22"/>
    <n v="45000"/>
    <d v="2016-08-08T00:00:00"/>
    <n v="5"/>
    <x v="1"/>
    <n v="2"/>
    <n v="4.4444444444444447E-5"/>
    <b v="1"/>
    <b v="1"/>
    <x v="0"/>
    <n v="0.16666666666666666"/>
    <n v="1"/>
    <n v="0.5"/>
  </r>
  <r>
    <s v="ID000441"/>
    <x v="0"/>
    <x v="0"/>
    <s v="Technova"/>
    <x v="1"/>
    <n v="25"/>
    <n v="15000"/>
    <d v="2008-12-21T00:00:00"/>
    <n v="3"/>
    <x v="0"/>
    <n v="1"/>
    <n v="6.666666666666667E-5"/>
    <b v="1"/>
    <b v="1"/>
    <x v="0"/>
    <n v="0.5"/>
    <n v="0.5"/>
    <n v="0.5"/>
  </r>
  <r>
    <s v="ID000461"/>
    <x v="2"/>
    <x v="2"/>
    <s v="Dataverse"/>
    <x v="0"/>
    <n v="1"/>
    <n v="36000"/>
    <d v="2007-09-13T00:00:00"/>
    <n v="4"/>
    <x v="1"/>
    <n v="2"/>
    <n v="5.5555555555555558E-5"/>
    <b v="0"/>
    <b v="0"/>
    <x v="0"/>
    <n v="0.33333333333333331"/>
    <n v="0.75"/>
    <n v="0.5"/>
  </r>
  <r>
    <s v="ID000499"/>
    <x v="2"/>
    <x v="2"/>
    <s v="Technova"/>
    <x v="1"/>
    <n v="22"/>
    <n v="36000"/>
    <d v="2019-07-18T00:00:00"/>
    <n v="4"/>
    <x v="1"/>
    <n v="2"/>
    <n v="5.5555555555555558E-5"/>
    <b v="1"/>
    <b v="1"/>
    <x v="0"/>
    <n v="0.33333333333333331"/>
    <n v="0.75"/>
    <n v="0.5"/>
  </r>
  <r>
    <s v="ID000502"/>
    <x v="2"/>
    <x v="2"/>
    <s v="Technova"/>
    <x v="1"/>
    <n v="23"/>
    <n v="45000"/>
    <d v="2010-08-07T00:00:00"/>
    <n v="5"/>
    <x v="1"/>
    <n v="2"/>
    <n v="4.4444444444444447E-5"/>
    <b v="1"/>
    <b v="1"/>
    <x v="0"/>
    <n v="0.16666666666666666"/>
    <n v="1"/>
    <n v="0.5"/>
  </r>
  <r>
    <s v="ID000530"/>
    <x v="0"/>
    <x v="0"/>
    <s v="Technova"/>
    <x v="1"/>
    <n v="9"/>
    <n v="15000"/>
    <d v="2006-12-03T00:00:00"/>
    <n v="3"/>
    <x v="0"/>
    <n v="1"/>
    <n v="6.666666666666667E-5"/>
    <b v="0"/>
    <b v="1"/>
    <x v="0"/>
    <n v="0.5"/>
    <n v="0.5"/>
    <n v="0.5"/>
  </r>
  <r>
    <s v="ID000626"/>
    <x v="1"/>
    <x v="1"/>
    <s v="Technova"/>
    <x v="1"/>
    <n v="25"/>
    <n v="18000"/>
    <d v="2022-02-14T00:00:00"/>
    <n v="4"/>
    <x v="0"/>
    <n v="1"/>
    <n v="5.5555555555555558E-5"/>
    <b v="1"/>
    <b v="1"/>
    <x v="0"/>
    <n v="0.33333333333333331"/>
    <n v="0.75"/>
    <n v="0.5"/>
  </r>
  <r>
    <s v="ID000646"/>
    <x v="3"/>
    <x v="3"/>
    <s v="Dataverse"/>
    <x v="0"/>
    <n v="8"/>
    <n v="45000"/>
    <d v="2005-06-08T00:00:00"/>
    <n v="5"/>
    <x v="1"/>
    <n v="2"/>
    <n v="4.4444444444444447E-5"/>
    <b v="0"/>
    <b v="1"/>
    <x v="0"/>
    <n v="0.16666666666666666"/>
    <n v="1"/>
    <n v="0.5"/>
  </r>
  <r>
    <s v="ID000747"/>
    <x v="3"/>
    <x v="3"/>
    <s v="Technova"/>
    <x v="1"/>
    <n v="13"/>
    <n v="45000"/>
    <d v="2020-02-21T00:00:00"/>
    <n v="5"/>
    <x v="1"/>
    <n v="2"/>
    <n v="4.4444444444444447E-5"/>
    <b v="0"/>
    <b v="1"/>
    <x v="0"/>
    <n v="0.16666666666666666"/>
    <n v="1"/>
    <n v="0.5"/>
  </r>
  <r>
    <s v="ID000788"/>
    <x v="1"/>
    <x v="1"/>
    <s v="Technova"/>
    <x v="1"/>
    <n v="8"/>
    <n v="15000"/>
    <d v="2019-09-30T00:00:00"/>
    <n v="3"/>
    <x v="0"/>
    <n v="1"/>
    <n v="6.666666666666667E-5"/>
    <b v="0"/>
    <b v="1"/>
    <x v="0"/>
    <n v="0.5"/>
    <n v="0.5"/>
    <n v="0.5"/>
  </r>
  <r>
    <s v="ID000791"/>
    <x v="1"/>
    <x v="1"/>
    <s v="Technova"/>
    <x v="1"/>
    <n v="9"/>
    <n v="18000"/>
    <d v="2017-12-09T00:00:00"/>
    <n v="4"/>
    <x v="0"/>
    <n v="1"/>
    <n v="5.5555555555555558E-5"/>
    <b v="0"/>
    <b v="1"/>
    <x v="0"/>
    <n v="0.33333333333333331"/>
    <n v="0.75"/>
    <n v="0.5"/>
  </r>
  <r>
    <s v="ID000836"/>
    <x v="3"/>
    <x v="3"/>
    <s v="Dataverse"/>
    <x v="0"/>
    <n v="6"/>
    <n v="45000"/>
    <d v="2021-02-14T00:00:00"/>
    <n v="5"/>
    <x v="1"/>
    <n v="2"/>
    <n v="4.4444444444444447E-5"/>
    <b v="0"/>
    <b v="1"/>
    <x v="0"/>
    <n v="0.16666666666666666"/>
    <n v="1"/>
    <n v="0.5"/>
  </r>
  <r>
    <s v="ID000845"/>
    <x v="3"/>
    <x v="3"/>
    <s v="Dataverse"/>
    <x v="0"/>
    <n v="10"/>
    <n v="45000"/>
    <d v="2008-06-13T00:00:00"/>
    <n v="5"/>
    <x v="1"/>
    <n v="2"/>
    <n v="4.4444444444444447E-5"/>
    <b v="0"/>
    <b v="1"/>
    <x v="0"/>
    <n v="0.16666666666666666"/>
    <n v="1"/>
    <n v="0.5"/>
  </r>
  <r>
    <s v="ID000850"/>
    <x v="3"/>
    <x v="3"/>
    <s v="Dataverse"/>
    <x v="0"/>
    <n v="24"/>
    <n v="36000"/>
    <d v="2016-10-28T00:00:00"/>
    <n v="4"/>
    <x v="1"/>
    <n v="2"/>
    <n v="5.5555555555555558E-5"/>
    <b v="1"/>
    <b v="1"/>
    <x v="0"/>
    <n v="0.33333333333333331"/>
    <n v="0.75"/>
    <n v="0.5"/>
  </r>
  <r>
    <s v="ID000854"/>
    <x v="3"/>
    <x v="3"/>
    <s v="Dataverse"/>
    <x v="0"/>
    <n v="1"/>
    <n v="45000"/>
    <d v="2014-08-19T00:00:00"/>
    <n v="5"/>
    <x v="1"/>
    <n v="2"/>
    <n v="4.4444444444444447E-5"/>
    <b v="0"/>
    <b v="0"/>
    <x v="0"/>
    <n v="0.16666666666666666"/>
    <n v="1"/>
    <n v="0.5"/>
  </r>
  <r>
    <s v="ID000371"/>
    <x v="9"/>
    <x v="9"/>
    <s v="Technova"/>
    <x v="1"/>
    <n v="21"/>
    <n v="68000"/>
    <d v="2015-10-13T00:00:00"/>
    <n v="5"/>
    <x v="2"/>
    <n v="3"/>
    <n v="4.4117647058823532E-5"/>
    <b v="1"/>
    <b v="1"/>
    <x v="0"/>
    <n v="0.16176470588235295"/>
    <n v="1"/>
    <n v="0.49705882352941178"/>
  </r>
  <r>
    <s v="ID000070"/>
    <x v="5"/>
    <x v="5"/>
    <s v="Dataverse"/>
    <x v="0"/>
    <n v="14"/>
    <n v="46000"/>
    <d v="2024-03-13T00:00:00"/>
    <n v="5"/>
    <x v="1"/>
    <n v="2"/>
    <n v="4.347826086956522E-5"/>
    <b v="0"/>
    <b v="1"/>
    <x v="0"/>
    <n v="0.15217391304347827"/>
    <n v="1"/>
    <n v="0.49130434782608701"/>
  </r>
  <r>
    <s v="ID000214"/>
    <x v="7"/>
    <x v="7"/>
    <s v="Dataverse"/>
    <x v="0"/>
    <n v="12"/>
    <n v="46000"/>
    <d v="2019-09-13T00:00:00"/>
    <n v="5"/>
    <x v="1"/>
    <n v="2"/>
    <n v="4.347826086956522E-5"/>
    <b v="0"/>
    <b v="1"/>
    <x v="0"/>
    <n v="0.15217391304347827"/>
    <n v="1"/>
    <n v="0.49130434782608701"/>
  </r>
  <r>
    <s v="ID000373"/>
    <x v="2"/>
    <x v="2"/>
    <s v="Technova"/>
    <x v="1"/>
    <n v="22"/>
    <n v="46000"/>
    <d v="2008-11-19T00:00:00"/>
    <n v="5"/>
    <x v="1"/>
    <n v="2"/>
    <n v="4.347826086956522E-5"/>
    <b v="1"/>
    <b v="1"/>
    <x v="0"/>
    <n v="0.15217391304347827"/>
    <n v="1"/>
    <n v="0.49130434782608701"/>
  </r>
  <r>
    <s v="ID000687"/>
    <x v="1"/>
    <x v="1"/>
    <s v="Dataverse"/>
    <x v="0"/>
    <n v="24"/>
    <n v="23000"/>
    <d v="2012-01-08T00:00:00"/>
    <n v="5"/>
    <x v="0"/>
    <n v="1"/>
    <n v="4.347826086956522E-5"/>
    <b v="1"/>
    <b v="1"/>
    <x v="0"/>
    <n v="0.15217391304347827"/>
    <n v="1"/>
    <n v="0.49130434782608701"/>
  </r>
  <r>
    <s v="ID000760"/>
    <x v="3"/>
    <x v="3"/>
    <s v="Technova"/>
    <x v="1"/>
    <n v="15"/>
    <n v="46000"/>
    <d v="2019-10-14T00:00:00"/>
    <n v="5"/>
    <x v="1"/>
    <n v="2"/>
    <n v="4.347826086956522E-5"/>
    <b v="0"/>
    <b v="1"/>
    <x v="0"/>
    <n v="0.15217391304347827"/>
    <n v="1"/>
    <n v="0.49130434782608701"/>
  </r>
  <r>
    <s v="ID000853"/>
    <x v="3"/>
    <x v="3"/>
    <s v="Dataverse"/>
    <x v="0"/>
    <n v="10"/>
    <n v="46000"/>
    <d v="2006-11-26T00:00:00"/>
    <n v="5"/>
    <x v="1"/>
    <n v="2"/>
    <n v="4.347826086956522E-5"/>
    <b v="0"/>
    <b v="1"/>
    <x v="0"/>
    <n v="0.15217391304347827"/>
    <n v="1"/>
    <n v="0.49130434782608701"/>
  </r>
  <r>
    <s v="ID000156"/>
    <x v="7"/>
    <x v="7"/>
    <s v="Technova"/>
    <x v="1"/>
    <n v="22"/>
    <n v="37000"/>
    <d v="2015-11-07T00:00:00"/>
    <n v="4"/>
    <x v="1"/>
    <n v="2"/>
    <n v="5.4054054054054054E-5"/>
    <b v="1"/>
    <b v="1"/>
    <x v="0"/>
    <n v="0.31081081081081074"/>
    <n v="0.75"/>
    <n v="0.48648648648648651"/>
  </r>
  <r>
    <s v="ID000333"/>
    <x v="6"/>
    <x v="6"/>
    <s v="Dataverse"/>
    <x v="0"/>
    <n v="20"/>
    <n v="37000"/>
    <d v="2013-07-15T00:00:00"/>
    <n v="4"/>
    <x v="1"/>
    <n v="2"/>
    <n v="5.4054054054054054E-5"/>
    <b v="1"/>
    <b v="1"/>
    <x v="0"/>
    <n v="0.31081081081081074"/>
    <n v="0.75"/>
    <n v="0.48648648648648651"/>
  </r>
  <r>
    <s v="ID000564"/>
    <x v="3"/>
    <x v="3"/>
    <s v="Dataverse"/>
    <x v="0"/>
    <n v="24"/>
    <n v="37000"/>
    <d v="2014-01-21T00:00:00"/>
    <n v="4"/>
    <x v="1"/>
    <n v="2"/>
    <n v="5.4054054054054054E-5"/>
    <b v="1"/>
    <b v="1"/>
    <x v="0"/>
    <n v="0.31081081081081074"/>
    <n v="0.75"/>
    <n v="0.48648648648648651"/>
  </r>
  <r>
    <s v="ID000743"/>
    <x v="3"/>
    <x v="3"/>
    <s v="Technova"/>
    <x v="1"/>
    <n v="11"/>
    <n v="37000"/>
    <d v="2018-06-12T00:00:00"/>
    <n v="4"/>
    <x v="1"/>
    <n v="2"/>
    <n v="5.4054054054054054E-5"/>
    <b v="0"/>
    <b v="1"/>
    <x v="0"/>
    <n v="0.31081081081081074"/>
    <n v="0.75"/>
    <n v="0.48648648648648651"/>
  </r>
  <r>
    <s v="ID000833"/>
    <x v="3"/>
    <x v="3"/>
    <s v="Dataverse"/>
    <x v="0"/>
    <n v="11"/>
    <n v="37000"/>
    <d v="2015-09-16T00:00:00"/>
    <n v="4"/>
    <x v="1"/>
    <n v="2"/>
    <n v="5.4054054054054054E-5"/>
    <b v="0"/>
    <b v="1"/>
    <x v="0"/>
    <n v="0.31081081081081074"/>
    <n v="0.75"/>
    <n v="0.48648648648648651"/>
  </r>
  <r>
    <s v="ID000203"/>
    <x v="8"/>
    <x v="8"/>
    <s v="Dataverse"/>
    <x v="0"/>
    <n v="9"/>
    <n v="70000"/>
    <d v="2015-04-24T00:00:00"/>
    <n v="5"/>
    <x v="2"/>
    <n v="3"/>
    <n v="4.2857142857142856E-5"/>
    <b v="0"/>
    <b v="1"/>
    <x v="0"/>
    <n v="0.14285714285714282"/>
    <n v="1"/>
    <n v="0.48571428571428571"/>
  </r>
  <r>
    <s v="ID000451"/>
    <x v="9"/>
    <x v="9"/>
    <s v="Dataverse"/>
    <x v="0"/>
    <n v="17"/>
    <n v="70000"/>
    <d v="2007-06-09T00:00:00"/>
    <n v="5"/>
    <x v="2"/>
    <n v="3"/>
    <n v="4.2857142857142856E-5"/>
    <b v="1"/>
    <b v="1"/>
    <x v="0"/>
    <n v="0.14285714285714282"/>
    <n v="1"/>
    <n v="0.48571428571428571"/>
  </r>
  <r>
    <s v="ID000593"/>
    <x v="3"/>
    <x v="3"/>
    <s v="Technova"/>
    <x v="1"/>
    <n v="17"/>
    <n v="47000"/>
    <d v="2005-10-29T00:00:00"/>
    <n v="5"/>
    <x v="1"/>
    <n v="2"/>
    <n v="4.2553191489361704E-5"/>
    <b v="1"/>
    <b v="1"/>
    <x v="0"/>
    <n v="0.13829787234042554"/>
    <n v="1"/>
    <n v="0.48297872340425535"/>
  </r>
  <r>
    <s v="ID000648"/>
    <x v="3"/>
    <x v="3"/>
    <s v="Dataverse"/>
    <x v="0"/>
    <n v="11"/>
    <n v="47000"/>
    <d v="2011-02-07T00:00:00"/>
    <n v="5"/>
    <x v="1"/>
    <n v="2"/>
    <n v="4.2553191489361704E-5"/>
    <b v="0"/>
    <b v="1"/>
    <x v="0"/>
    <n v="0.13829787234042554"/>
    <n v="1"/>
    <n v="0.48297872340425535"/>
  </r>
  <r>
    <s v="ID000673"/>
    <x v="3"/>
    <x v="3"/>
    <s v="Dataverse"/>
    <x v="0"/>
    <n v="13"/>
    <n v="47000"/>
    <d v="2011-11-09T00:00:00"/>
    <n v="5"/>
    <x v="1"/>
    <n v="2"/>
    <n v="4.2553191489361704E-5"/>
    <b v="0"/>
    <b v="1"/>
    <x v="0"/>
    <n v="0.13829787234042554"/>
    <n v="1"/>
    <n v="0.48297872340425535"/>
  </r>
  <r>
    <s v="ID000815"/>
    <x v="3"/>
    <x v="3"/>
    <s v="Dataverse"/>
    <x v="0"/>
    <n v="21"/>
    <n v="47000"/>
    <d v="2008-12-03T00:00:00"/>
    <n v="5"/>
    <x v="1"/>
    <n v="2"/>
    <n v="4.2553191489361704E-5"/>
    <b v="1"/>
    <b v="1"/>
    <x v="0"/>
    <n v="0.13829787234042554"/>
    <n v="1"/>
    <n v="0.48297872340425535"/>
  </r>
  <r>
    <s v="ID000840"/>
    <x v="3"/>
    <x v="3"/>
    <s v="Dataverse"/>
    <x v="0"/>
    <n v="19"/>
    <n v="47000"/>
    <d v="2012-05-27T00:00:00"/>
    <n v="5"/>
    <x v="1"/>
    <n v="2"/>
    <n v="4.2553191489361704E-5"/>
    <b v="1"/>
    <b v="1"/>
    <x v="0"/>
    <n v="0.13829787234042554"/>
    <n v="1"/>
    <n v="0.48297872340425535"/>
  </r>
  <r>
    <s v="ID000212"/>
    <x v="7"/>
    <x v="7"/>
    <s v="Dataverse"/>
    <x v="0"/>
    <n v="11"/>
    <n v="31000"/>
    <d v="2021-05-11T00:00:00"/>
    <n v="3"/>
    <x v="1"/>
    <n v="2"/>
    <n v="6.4516129032258067E-5"/>
    <b v="0"/>
    <b v="1"/>
    <x v="0"/>
    <n v="0.46774193548387094"/>
    <n v="0.5"/>
    <n v="0.48064516129032259"/>
  </r>
  <r>
    <s v="ID000739"/>
    <x v="3"/>
    <x v="3"/>
    <s v="Technova"/>
    <x v="1"/>
    <n v="16"/>
    <n v="31000"/>
    <d v="2019-09-15T00:00:00"/>
    <n v="3"/>
    <x v="1"/>
    <n v="2"/>
    <n v="6.4516129032258067E-5"/>
    <b v="1"/>
    <b v="1"/>
    <x v="0"/>
    <n v="0.46774193548387094"/>
    <n v="0.5"/>
    <n v="0.48064516129032259"/>
  </r>
  <r>
    <s v="ID000058"/>
    <x v="8"/>
    <x v="8"/>
    <s v="Dataverse"/>
    <x v="0"/>
    <n v="11"/>
    <n v="71000"/>
    <d v="2014-11-14T00:00:00"/>
    <n v="5"/>
    <x v="2"/>
    <n v="3"/>
    <n v="4.2253521126760563E-5"/>
    <b v="0"/>
    <b v="1"/>
    <x v="0"/>
    <n v="0.13380281690140841"/>
    <n v="1"/>
    <n v="0.4802816901408451"/>
  </r>
  <r>
    <s v="ID000454"/>
    <x v="9"/>
    <x v="9"/>
    <s v="Dataverse"/>
    <x v="0"/>
    <n v="24"/>
    <n v="71000"/>
    <d v="2009-08-14T00:00:00"/>
    <n v="5"/>
    <x v="2"/>
    <n v="3"/>
    <n v="4.2253521126760563E-5"/>
    <b v="1"/>
    <b v="1"/>
    <x v="0"/>
    <n v="0.13380281690140841"/>
    <n v="1"/>
    <n v="0.4802816901408451"/>
  </r>
  <r>
    <s v="ID000576"/>
    <x v="5"/>
    <x v="5"/>
    <s v="Technova"/>
    <x v="1"/>
    <n v="25"/>
    <n v="71000"/>
    <d v="2014-05-28T00:00:00"/>
    <n v="5"/>
    <x v="2"/>
    <n v="3"/>
    <n v="4.2253521126760563E-5"/>
    <b v="1"/>
    <b v="1"/>
    <x v="0"/>
    <n v="0.13380281690140841"/>
    <n v="1"/>
    <n v="0.4802816901408451"/>
  </r>
  <r>
    <s v="ID000028"/>
    <x v="5"/>
    <x v="5"/>
    <s v="Technova"/>
    <x v="1"/>
    <n v="5"/>
    <n v="48000"/>
    <d v="2021-11-05T00:00:00"/>
    <n v="5"/>
    <x v="1"/>
    <n v="2"/>
    <n v="4.1666666666666665E-5"/>
    <b v="0"/>
    <b v="0"/>
    <x v="0"/>
    <n v="0.12499999999999994"/>
    <n v="1"/>
    <n v="0.47499999999999998"/>
  </r>
  <r>
    <s v="ID000199"/>
    <x v="8"/>
    <x v="8"/>
    <s v="Dataverse"/>
    <x v="0"/>
    <n v="7"/>
    <n v="72000"/>
    <d v="2009-11-22T00:00:00"/>
    <n v="5"/>
    <x v="2"/>
    <n v="3"/>
    <n v="4.1666666666666665E-5"/>
    <b v="0"/>
    <b v="1"/>
    <x v="0"/>
    <n v="0.12499999999999994"/>
    <n v="1"/>
    <n v="0.47499999999999998"/>
  </r>
  <r>
    <s v="ID000220"/>
    <x v="7"/>
    <x v="7"/>
    <s v="Dataverse"/>
    <x v="0"/>
    <n v="25"/>
    <n v="48000"/>
    <d v="2010-03-31T00:00:00"/>
    <n v="5"/>
    <x v="1"/>
    <n v="2"/>
    <n v="4.1666666666666665E-5"/>
    <b v="1"/>
    <b v="1"/>
    <x v="0"/>
    <n v="0.12499999999999994"/>
    <n v="1"/>
    <n v="0.47499999999999998"/>
  </r>
  <r>
    <s v="ID000358"/>
    <x v="0"/>
    <x v="0"/>
    <s v="Dataverse"/>
    <x v="0"/>
    <n v="3"/>
    <n v="24000"/>
    <d v="2015-09-28T00:00:00"/>
    <n v="5"/>
    <x v="0"/>
    <n v="1"/>
    <n v="4.1666666666666665E-5"/>
    <b v="0"/>
    <b v="0"/>
    <x v="0"/>
    <n v="0.12499999999999994"/>
    <n v="1"/>
    <n v="0.47499999999999998"/>
  </r>
  <r>
    <s v="ID000644"/>
    <x v="3"/>
    <x v="3"/>
    <s v="Dataverse"/>
    <x v="0"/>
    <n v="15"/>
    <n v="48000"/>
    <d v="2016-10-13T00:00:00"/>
    <n v="5"/>
    <x v="1"/>
    <n v="2"/>
    <n v="4.1666666666666665E-5"/>
    <b v="0"/>
    <b v="1"/>
    <x v="0"/>
    <n v="0.12499999999999994"/>
    <n v="1"/>
    <n v="0.47499999999999998"/>
  </r>
  <r>
    <s v="ID000770"/>
    <x v="3"/>
    <x v="3"/>
    <s v="Technova"/>
    <x v="1"/>
    <n v="13"/>
    <n v="48000"/>
    <d v="2022-05-06T00:00:00"/>
    <n v="5"/>
    <x v="1"/>
    <n v="2"/>
    <n v="4.1666666666666665E-5"/>
    <b v="0"/>
    <b v="1"/>
    <x v="0"/>
    <n v="0.12499999999999994"/>
    <n v="1"/>
    <n v="0.47499999999999998"/>
  </r>
  <r>
    <s v="ID000876"/>
    <x v="1"/>
    <x v="1"/>
    <s v="Dataverse"/>
    <x v="0"/>
    <n v="23"/>
    <n v="24000"/>
    <d v="2023-07-23T00:00:00"/>
    <n v="5"/>
    <x v="0"/>
    <n v="1"/>
    <n v="4.1666666666666665E-5"/>
    <b v="1"/>
    <b v="1"/>
    <x v="0"/>
    <n v="0.12499999999999994"/>
    <n v="1"/>
    <n v="0.47499999999999998"/>
  </r>
  <r>
    <s v="ID000891"/>
    <x v="1"/>
    <x v="1"/>
    <s v="Dataverse"/>
    <x v="0"/>
    <n v="10"/>
    <n v="24000"/>
    <d v="2005-04-20T00:00:00"/>
    <n v="5"/>
    <x v="0"/>
    <n v="1"/>
    <n v="4.1666666666666665E-5"/>
    <b v="0"/>
    <b v="1"/>
    <x v="0"/>
    <n v="0.12499999999999994"/>
    <n v="1"/>
    <n v="0.47499999999999998"/>
  </r>
  <r>
    <s v="ID000936"/>
    <x v="5"/>
    <x v="5"/>
    <s v="Technova"/>
    <x v="1"/>
    <n v="18"/>
    <n v="72000"/>
    <d v="2020-08-11T00:00:00"/>
    <n v="5"/>
    <x v="2"/>
    <n v="3"/>
    <n v="4.1666666666666665E-5"/>
    <b v="1"/>
    <b v="1"/>
    <x v="0"/>
    <n v="0.12499999999999994"/>
    <n v="1"/>
    <n v="0.47499999999999998"/>
  </r>
  <r>
    <s v="ID000020"/>
    <x v="5"/>
    <x v="5"/>
    <s v="Technova"/>
    <x v="1"/>
    <n v="10"/>
    <n v="38000"/>
    <d v="2013-07-25T00:00:00"/>
    <n v="4"/>
    <x v="1"/>
    <n v="2"/>
    <n v="5.2631578947368424E-5"/>
    <b v="0"/>
    <b v="1"/>
    <x v="0"/>
    <n v="0.28947368421052633"/>
    <n v="0.75"/>
    <n v="0.47368421052631582"/>
  </r>
  <r>
    <s v="ID000117"/>
    <x v="0"/>
    <x v="0"/>
    <s v="Dataverse"/>
    <x v="0"/>
    <n v="5"/>
    <n v="19000"/>
    <d v="2011-10-27T00:00:00"/>
    <n v="4"/>
    <x v="0"/>
    <n v="1"/>
    <n v="5.2631578947368424E-5"/>
    <b v="0"/>
    <b v="0"/>
    <x v="0"/>
    <n v="0.28947368421052633"/>
    <n v="0.75"/>
    <n v="0.47368421052631582"/>
  </r>
  <r>
    <s v="ID000280"/>
    <x v="6"/>
    <x v="6"/>
    <s v="Technova"/>
    <x v="1"/>
    <n v="5"/>
    <n v="38000"/>
    <d v="2024-02-26T00:00:00"/>
    <n v="4"/>
    <x v="1"/>
    <n v="2"/>
    <n v="5.2631578947368424E-5"/>
    <b v="0"/>
    <b v="0"/>
    <x v="0"/>
    <n v="0.28947368421052633"/>
    <n v="0.75"/>
    <n v="0.47368421052631582"/>
  </r>
  <r>
    <s v="ID000306"/>
    <x v="6"/>
    <x v="6"/>
    <s v="Technova"/>
    <x v="1"/>
    <n v="15"/>
    <n v="38000"/>
    <d v="2019-04-15T00:00:00"/>
    <n v="4"/>
    <x v="1"/>
    <n v="2"/>
    <n v="5.2631578947368424E-5"/>
    <b v="0"/>
    <b v="1"/>
    <x v="0"/>
    <n v="0.28947368421052633"/>
    <n v="0.75"/>
    <n v="0.47368421052631582"/>
  </r>
  <r>
    <s v="ID000402"/>
    <x v="2"/>
    <x v="2"/>
    <s v="Dataverse"/>
    <x v="0"/>
    <n v="11"/>
    <n v="38000"/>
    <d v="2022-05-29T00:00:00"/>
    <n v="4"/>
    <x v="1"/>
    <n v="2"/>
    <n v="5.2631578947368424E-5"/>
    <b v="0"/>
    <b v="1"/>
    <x v="0"/>
    <n v="0.28947368421052633"/>
    <n v="0.75"/>
    <n v="0.47368421052631582"/>
  </r>
  <r>
    <s v="ID000529"/>
    <x v="0"/>
    <x v="0"/>
    <s v="Technova"/>
    <x v="1"/>
    <n v="17"/>
    <n v="19000"/>
    <d v="2019-04-09T00:00:00"/>
    <n v="4"/>
    <x v="0"/>
    <n v="1"/>
    <n v="5.2631578947368424E-5"/>
    <b v="1"/>
    <b v="1"/>
    <x v="0"/>
    <n v="0.28947368421052633"/>
    <n v="0.75"/>
    <n v="0.47368421052631582"/>
  </r>
  <r>
    <s v="ID000659"/>
    <x v="3"/>
    <x v="3"/>
    <s v="Dataverse"/>
    <x v="0"/>
    <n v="24"/>
    <n v="38000"/>
    <d v="2009-12-18T00:00:00"/>
    <n v="4"/>
    <x v="1"/>
    <n v="2"/>
    <n v="5.2631578947368424E-5"/>
    <b v="1"/>
    <b v="1"/>
    <x v="0"/>
    <n v="0.28947368421052633"/>
    <n v="0.75"/>
    <n v="0.47368421052631582"/>
  </r>
  <r>
    <s v="ID000669"/>
    <x v="3"/>
    <x v="3"/>
    <s v="Dataverse"/>
    <x v="0"/>
    <n v="12"/>
    <n v="38000"/>
    <d v="2007-01-15T00:00:00"/>
    <n v="4"/>
    <x v="1"/>
    <n v="2"/>
    <n v="5.2631578947368424E-5"/>
    <b v="0"/>
    <b v="1"/>
    <x v="0"/>
    <n v="0.28947368421052633"/>
    <n v="0.75"/>
    <n v="0.47368421052631582"/>
  </r>
  <r>
    <s v="ID000776"/>
    <x v="3"/>
    <x v="3"/>
    <s v="Technova"/>
    <x v="1"/>
    <n v="8"/>
    <n v="38000"/>
    <d v="2023-06-21T00:00:00"/>
    <n v="4"/>
    <x v="1"/>
    <n v="2"/>
    <n v="5.2631578947368424E-5"/>
    <b v="0"/>
    <b v="1"/>
    <x v="0"/>
    <n v="0.28947368421052633"/>
    <n v="0.75"/>
    <n v="0.47368421052631582"/>
  </r>
  <r>
    <s v="ID000780"/>
    <x v="1"/>
    <x v="1"/>
    <s v="Technova"/>
    <x v="1"/>
    <n v="4"/>
    <n v="19000"/>
    <d v="2010-06-22T00:00:00"/>
    <n v="4"/>
    <x v="0"/>
    <n v="1"/>
    <n v="5.2631578947368424E-5"/>
    <b v="0"/>
    <b v="0"/>
    <x v="0"/>
    <n v="0.28947368421052633"/>
    <n v="0.75"/>
    <n v="0.47368421052631582"/>
  </r>
  <r>
    <s v="ID000830"/>
    <x v="3"/>
    <x v="3"/>
    <s v="Dataverse"/>
    <x v="0"/>
    <n v="5"/>
    <n v="38000"/>
    <d v="2006-03-15T00:00:00"/>
    <n v="4"/>
    <x v="1"/>
    <n v="2"/>
    <n v="5.2631578947368424E-5"/>
    <b v="0"/>
    <b v="0"/>
    <x v="0"/>
    <n v="0.28947368421052633"/>
    <n v="0.75"/>
    <n v="0.47368421052631582"/>
  </r>
  <r>
    <s v="ID000899"/>
    <x v="4"/>
    <x v="4"/>
    <s v="Technova"/>
    <x v="1"/>
    <n v="20"/>
    <n v="38000"/>
    <d v="2008-03-03T00:00:00"/>
    <n v="4"/>
    <x v="1"/>
    <n v="2"/>
    <n v="5.2631578947368424E-5"/>
    <b v="1"/>
    <b v="1"/>
    <x v="0"/>
    <n v="0.28947368421052633"/>
    <n v="0.75"/>
    <n v="0.47368421052631582"/>
  </r>
  <r>
    <s v="ID000901"/>
    <x v="4"/>
    <x v="4"/>
    <s v="Technova"/>
    <x v="1"/>
    <n v="4"/>
    <n v="38000"/>
    <d v="2018-11-17T00:00:00"/>
    <n v="4"/>
    <x v="1"/>
    <n v="2"/>
    <n v="5.2631578947368424E-5"/>
    <b v="0"/>
    <b v="0"/>
    <x v="0"/>
    <n v="0.28947368421052633"/>
    <n v="0.75"/>
    <n v="0.47368421052631582"/>
  </r>
  <r>
    <s v="ID000432"/>
    <x v="2"/>
    <x v="2"/>
    <s v="Technova"/>
    <x v="1"/>
    <n v="12"/>
    <n v="49000"/>
    <d v="2013-12-23T00:00:00"/>
    <n v="5"/>
    <x v="1"/>
    <n v="2"/>
    <n v="4.0816326530612245E-5"/>
    <b v="0"/>
    <b v="1"/>
    <x v="0"/>
    <n v="0.11224489795918365"/>
    <n v="1"/>
    <n v="0.4673469387755102"/>
  </r>
  <r>
    <s v="ID000489"/>
    <x v="2"/>
    <x v="2"/>
    <s v="Technova"/>
    <x v="1"/>
    <n v="3"/>
    <n v="49000"/>
    <d v="2020-12-25T00:00:00"/>
    <n v="5"/>
    <x v="1"/>
    <n v="2"/>
    <n v="4.0816326530612245E-5"/>
    <b v="0"/>
    <b v="0"/>
    <x v="0"/>
    <n v="0.11224489795918365"/>
    <n v="1"/>
    <n v="0.4673469387755102"/>
  </r>
  <r>
    <s v="ID000552"/>
    <x v="3"/>
    <x v="3"/>
    <s v="Dataverse"/>
    <x v="0"/>
    <n v="2"/>
    <n v="49000"/>
    <d v="2004-11-15T00:00:00"/>
    <n v="5"/>
    <x v="1"/>
    <n v="2"/>
    <n v="4.0816326530612245E-5"/>
    <b v="0"/>
    <b v="0"/>
    <x v="0"/>
    <n v="0.11224489795918365"/>
    <n v="1"/>
    <n v="0.4673469387755102"/>
  </r>
  <r>
    <s v="ID000652"/>
    <x v="3"/>
    <x v="3"/>
    <s v="Dataverse"/>
    <x v="0"/>
    <n v="2"/>
    <n v="49000"/>
    <d v="2019-05-08T00:00:00"/>
    <n v="5"/>
    <x v="1"/>
    <n v="2"/>
    <n v="4.0816326530612245E-5"/>
    <b v="0"/>
    <b v="0"/>
    <x v="0"/>
    <n v="0.11224489795918365"/>
    <n v="1"/>
    <n v="0.4673469387755102"/>
  </r>
  <r>
    <s v="ID000368"/>
    <x v="9"/>
    <x v="9"/>
    <s v="Technova"/>
    <x v="1"/>
    <n v="15"/>
    <n v="74000"/>
    <d v="2021-03-02T00:00:00"/>
    <n v="5"/>
    <x v="2"/>
    <n v="3"/>
    <n v="4.0540540540540538E-5"/>
    <b v="0"/>
    <b v="1"/>
    <x v="0"/>
    <n v="0.10810810810810804"/>
    <n v="1"/>
    <n v="0.46486486486486484"/>
  </r>
  <r>
    <s v="ID000370"/>
    <x v="9"/>
    <x v="9"/>
    <s v="Technova"/>
    <x v="1"/>
    <n v="15"/>
    <n v="74000"/>
    <d v="2020-02-28T00:00:00"/>
    <n v="5"/>
    <x v="2"/>
    <n v="3"/>
    <n v="4.0540540540540538E-5"/>
    <b v="0"/>
    <b v="1"/>
    <x v="0"/>
    <n v="0.10810810810810804"/>
    <n v="1"/>
    <n v="0.46486486486486484"/>
  </r>
  <r>
    <s v="ID000539"/>
    <x v="2"/>
    <x v="2"/>
    <s v="Dataverse"/>
    <x v="0"/>
    <n v="25"/>
    <n v="32000"/>
    <d v="2015-10-03T00:00:00"/>
    <n v="3"/>
    <x v="1"/>
    <n v="2"/>
    <n v="6.2500000000000001E-5"/>
    <b v="1"/>
    <b v="1"/>
    <x v="0"/>
    <n v="0.4375"/>
    <n v="0.5"/>
    <n v="0.46250000000000002"/>
  </r>
  <r>
    <s v="ID000548"/>
    <x v="3"/>
    <x v="3"/>
    <s v="Dataverse"/>
    <x v="0"/>
    <n v="14"/>
    <n v="32000"/>
    <d v="2019-12-27T00:00:00"/>
    <n v="3"/>
    <x v="1"/>
    <n v="2"/>
    <n v="6.2500000000000001E-5"/>
    <b v="0"/>
    <b v="1"/>
    <x v="0"/>
    <n v="0.4375"/>
    <n v="0.5"/>
    <n v="0.46250000000000002"/>
  </r>
  <r>
    <s v="ID000656"/>
    <x v="3"/>
    <x v="3"/>
    <s v="Dataverse"/>
    <x v="0"/>
    <n v="3"/>
    <n v="32000"/>
    <d v="2023-06-16T00:00:00"/>
    <n v="3"/>
    <x v="1"/>
    <n v="2"/>
    <n v="6.2500000000000001E-5"/>
    <b v="0"/>
    <b v="0"/>
    <x v="0"/>
    <n v="0.4375"/>
    <n v="0.5"/>
    <n v="0.46250000000000002"/>
  </r>
  <r>
    <s v="ID000724"/>
    <x v="3"/>
    <x v="3"/>
    <s v="Technova"/>
    <x v="1"/>
    <n v="4"/>
    <n v="32000"/>
    <d v="2013-02-27T00:00:00"/>
    <n v="3"/>
    <x v="1"/>
    <n v="2"/>
    <n v="6.2500000000000001E-5"/>
    <b v="0"/>
    <b v="0"/>
    <x v="0"/>
    <n v="0.4375"/>
    <n v="0.5"/>
    <n v="0.46250000000000002"/>
  </r>
  <r>
    <s v="ID000737"/>
    <x v="3"/>
    <x v="3"/>
    <s v="Technova"/>
    <x v="1"/>
    <n v="9"/>
    <n v="32000"/>
    <d v="2016-07-29T00:00:00"/>
    <n v="3"/>
    <x v="1"/>
    <n v="2"/>
    <n v="6.2500000000000001E-5"/>
    <b v="0"/>
    <b v="1"/>
    <x v="0"/>
    <n v="0.4375"/>
    <n v="0.5"/>
    <n v="0.46250000000000002"/>
  </r>
  <r>
    <s v="ID000946"/>
    <x v="4"/>
    <x v="4"/>
    <s v="Technova"/>
    <x v="1"/>
    <n v="15"/>
    <n v="32000"/>
    <d v="2007-10-23T00:00:00"/>
    <n v="3"/>
    <x v="1"/>
    <n v="2"/>
    <n v="6.2500000000000001E-5"/>
    <b v="0"/>
    <b v="1"/>
    <x v="0"/>
    <n v="0.4375"/>
    <n v="0.5"/>
    <n v="0.46250000000000002"/>
  </r>
  <r>
    <s v="ID000281"/>
    <x v="6"/>
    <x v="6"/>
    <s v="Technova"/>
    <x v="1"/>
    <n v="16"/>
    <n v="39000"/>
    <d v="2014-11-12T00:00:00"/>
    <n v="4"/>
    <x v="1"/>
    <n v="2"/>
    <n v="5.1282051282051279E-5"/>
    <b v="1"/>
    <b v="1"/>
    <x v="0"/>
    <n v="0.26923076923076916"/>
    <n v="0.75"/>
    <n v="0.46153846153846156"/>
  </r>
  <r>
    <s v="ID000474"/>
    <x v="2"/>
    <x v="2"/>
    <s v="Dataverse"/>
    <x v="0"/>
    <n v="18"/>
    <n v="39000"/>
    <d v="2017-02-27T00:00:00"/>
    <n v="4"/>
    <x v="1"/>
    <n v="2"/>
    <n v="5.1282051282051279E-5"/>
    <b v="1"/>
    <b v="1"/>
    <x v="0"/>
    <n v="0.26923076923076916"/>
    <n v="0.75"/>
    <n v="0.46153846153846156"/>
  </r>
  <r>
    <s v="ID000488"/>
    <x v="2"/>
    <x v="2"/>
    <s v="Technova"/>
    <x v="1"/>
    <n v="9"/>
    <n v="39000"/>
    <d v="2013-09-02T00:00:00"/>
    <n v="4"/>
    <x v="1"/>
    <n v="2"/>
    <n v="5.1282051282051279E-5"/>
    <b v="0"/>
    <b v="1"/>
    <x v="0"/>
    <n v="0.26923076923076916"/>
    <n v="0.75"/>
    <n v="0.46153846153846156"/>
  </r>
  <r>
    <s v="ID000551"/>
    <x v="3"/>
    <x v="3"/>
    <s v="Dataverse"/>
    <x v="0"/>
    <n v="25"/>
    <n v="39000"/>
    <d v="2016-08-29T00:00:00"/>
    <n v="4"/>
    <x v="1"/>
    <n v="2"/>
    <n v="5.1282051282051279E-5"/>
    <b v="1"/>
    <b v="1"/>
    <x v="0"/>
    <n v="0.26923076923076916"/>
    <n v="0.75"/>
    <n v="0.46153846153846156"/>
  </r>
  <r>
    <s v="ID000922"/>
    <x v="4"/>
    <x v="4"/>
    <s v="Dataverse"/>
    <x v="0"/>
    <n v="5"/>
    <n v="39000"/>
    <d v="2018-05-20T00:00:00"/>
    <n v="4"/>
    <x v="1"/>
    <n v="2"/>
    <n v="5.1282051282051279E-5"/>
    <b v="0"/>
    <b v="0"/>
    <x v="0"/>
    <n v="0.26923076923076916"/>
    <n v="0.75"/>
    <n v="0.46153846153846156"/>
  </r>
  <r>
    <s v="ID000923"/>
    <x v="4"/>
    <x v="4"/>
    <s v="Dataverse"/>
    <x v="0"/>
    <n v="17"/>
    <n v="39000"/>
    <d v="2007-09-13T00:00:00"/>
    <n v="4"/>
    <x v="1"/>
    <n v="2"/>
    <n v="5.1282051282051279E-5"/>
    <b v="1"/>
    <b v="1"/>
    <x v="0"/>
    <n v="0.26923076923076916"/>
    <n v="0.75"/>
    <n v="0.46153846153846156"/>
  </r>
  <r>
    <s v="ID000120"/>
    <x v="0"/>
    <x v="0"/>
    <s v="Dataverse"/>
    <x v="0"/>
    <n v="2"/>
    <n v="25000"/>
    <d v="2014-03-30T00:00:00"/>
    <n v="5"/>
    <x v="0"/>
    <n v="1"/>
    <n v="4.0000000000000003E-5"/>
    <b v="0"/>
    <b v="0"/>
    <x v="0"/>
    <n v="0.10000000000000002"/>
    <n v="1"/>
    <n v="0.46"/>
  </r>
  <r>
    <s v="ID000131"/>
    <x v="8"/>
    <x v="8"/>
    <s v="Technova"/>
    <x v="1"/>
    <n v="7"/>
    <n v="75000"/>
    <d v="2020-11-26T00:00:00"/>
    <n v="5"/>
    <x v="2"/>
    <n v="3"/>
    <n v="4.0000000000000003E-5"/>
    <b v="0"/>
    <b v="1"/>
    <x v="0"/>
    <n v="0.10000000000000002"/>
    <n v="1"/>
    <n v="0.46"/>
  </r>
  <r>
    <s v="ID000183"/>
    <x v="0"/>
    <x v="0"/>
    <s v="Technova"/>
    <x v="1"/>
    <n v="25"/>
    <n v="25000"/>
    <d v="2018-06-19T00:00:00"/>
    <n v="5"/>
    <x v="0"/>
    <n v="1"/>
    <n v="4.0000000000000003E-5"/>
    <b v="1"/>
    <b v="1"/>
    <x v="0"/>
    <n v="0.10000000000000002"/>
    <n v="1"/>
    <n v="0.46"/>
  </r>
  <r>
    <s v="ID000238"/>
    <x v="0"/>
    <x v="0"/>
    <s v="Dataverse"/>
    <x v="0"/>
    <n v="2"/>
    <n v="25000"/>
    <d v="2008-03-29T00:00:00"/>
    <n v="5"/>
    <x v="0"/>
    <n v="1"/>
    <n v="4.0000000000000003E-5"/>
    <b v="0"/>
    <b v="0"/>
    <x v="0"/>
    <n v="0.10000000000000002"/>
    <n v="1"/>
    <n v="0.46"/>
  </r>
  <r>
    <s v="ID000321"/>
    <x v="9"/>
    <x v="9"/>
    <s v="Dataverse"/>
    <x v="0"/>
    <n v="3"/>
    <n v="75000"/>
    <d v="2005-08-15T00:00:00"/>
    <n v="5"/>
    <x v="2"/>
    <n v="3"/>
    <n v="4.0000000000000003E-5"/>
    <b v="0"/>
    <b v="0"/>
    <x v="0"/>
    <n v="0.10000000000000002"/>
    <n v="1"/>
    <n v="0.46"/>
  </r>
  <r>
    <s v="ID000346"/>
    <x v="2"/>
    <x v="2"/>
    <s v="Dataverse"/>
    <x v="0"/>
    <n v="1"/>
    <n v="50000"/>
    <d v="2023-12-16T00:00:00"/>
    <n v="5"/>
    <x v="1"/>
    <n v="2"/>
    <n v="4.0000000000000003E-5"/>
    <b v="0"/>
    <b v="0"/>
    <x v="0"/>
    <n v="0.10000000000000002"/>
    <n v="1"/>
    <n v="0.46"/>
  </r>
  <r>
    <s v="ID000385"/>
    <x v="2"/>
    <x v="2"/>
    <s v="Technova"/>
    <x v="1"/>
    <n v="19"/>
    <n v="50000"/>
    <d v="2010-11-22T00:00:00"/>
    <n v="5"/>
    <x v="1"/>
    <n v="2"/>
    <n v="4.0000000000000003E-5"/>
    <b v="1"/>
    <b v="1"/>
    <x v="0"/>
    <n v="0.10000000000000002"/>
    <n v="1"/>
    <n v="0.46"/>
  </r>
  <r>
    <s v="ID000387"/>
    <x v="2"/>
    <x v="2"/>
    <s v="Technova"/>
    <x v="1"/>
    <n v="3"/>
    <n v="50000"/>
    <d v="2016-01-12T00:00:00"/>
    <n v="5"/>
    <x v="1"/>
    <n v="2"/>
    <n v="4.0000000000000003E-5"/>
    <b v="0"/>
    <b v="0"/>
    <x v="0"/>
    <n v="0.10000000000000002"/>
    <n v="1"/>
    <n v="0.46"/>
  </r>
  <r>
    <s v="ID000487"/>
    <x v="2"/>
    <x v="2"/>
    <s v="Technova"/>
    <x v="1"/>
    <n v="10"/>
    <n v="50000"/>
    <d v="2010-07-02T00:00:00"/>
    <n v="5"/>
    <x v="1"/>
    <n v="2"/>
    <n v="4.0000000000000003E-5"/>
    <b v="0"/>
    <b v="1"/>
    <x v="0"/>
    <n v="0.10000000000000002"/>
    <n v="1"/>
    <n v="0.46"/>
  </r>
  <r>
    <s v="ID000597"/>
    <x v="3"/>
    <x v="3"/>
    <s v="Technova"/>
    <x v="1"/>
    <n v="23"/>
    <n v="50000"/>
    <d v="2013-07-03T00:00:00"/>
    <n v="5"/>
    <x v="1"/>
    <n v="2"/>
    <n v="4.0000000000000003E-5"/>
    <b v="1"/>
    <b v="1"/>
    <x v="0"/>
    <n v="0.10000000000000002"/>
    <n v="1"/>
    <n v="0.46"/>
  </r>
  <r>
    <s v="ID000608"/>
    <x v="3"/>
    <x v="3"/>
    <s v="Technova"/>
    <x v="1"/>
    <n v="18"/>
    <n v="50000"/>
    <d v="2016-07-27T00:00:00"/>
    <n v="5"/>
    <x v="1"/>
    <n v="2"/>
    <n v="4.0000000000000003E-5"/>
    <b v="1"/>
    <b v="1"/>
    <x v="0"/>
    <n v="0.10000000000000002"/>
    <n v="1"/>
    <n v="0.46"/>
  </r>
  <r>
    <s v="ID000725"/>
    <x v="3"/>
    <x v="3"/>
    <s v="Technova"/>
    <x v="1"/>
    <n v="15"/>
    <n v="50000"/>
    <d v="2016-12-03T00:00:00"/>
    <n v="5"/>
    <x v="1"/>
    <n v="2"/>
    <n v="4.0000000000000003E-5"/>
    <b v="0"/>
    <b v="1"/>
    <x v="0"/>
    <n v="0.10000000000000002"/>
    <n v="1"/>
    <n v="0.46"/>
  </r>
  <r>
    <s v="ID000735"/>
    <x v="3"/>
    <x v="3"/>
    <s v="Technova"/>
    <x v="1"/>
    <n v="7"/>
    <n v="50000"/>
    <d v="2015-04-18T00:00:00"/>
    <n v="5"/>
    <x v="1"/>
    <n v="2"/>
    <n v="4.0000000000000003E-5"/>
    <b v="0"/>
    <b v="1"/>
    <x v="0"/>
    <n v="0.10000000000000002"/>
    <n v="1"/>
    <n v="0.46"/>
  </r>
  <r>
    <s v="ID000751"/>
    <x v="3"/>
    <x v="3"/>
    <s v="Technova"/>
    <x v="1"/>
    <n v="4"/>
    <n v="50000"/>
    <d v="2011-07-20T00:00:00"/>
    <n v="5"/>
    <x v="1"/>
    <n v="2"/>
    <n v="4.0000000000000003E-5"/>
    <b v="0"/>
    <b v="0"/>
    <x v="0"/>
    <n v="0.10000000000000002"/>
    <n v="1"/>
    <n v="0.46"/>
  </r>
  <r>
    <s v="ID000324"/>
    <x v="9"/>
    <x v="9"/>
    <s v="Dataverse"/>
    <x v="0"/>
    <n v="13"/>
    <n v="76000"/>
    <d v="2008-02-27T00:00:00"/>
    <n v="5"/>
    <x v="2"/>
    <n v="3"/>
    <n v="3.9473684210526316E-5"/>
    <b v="0"/>
    <b v="1"/>
    <x v="0"/>
    <n v="9.2105263157894718E-2"/>
    <n v="1"/>
    <n v="0.45526315789473687"/>
  </r>
  <r>
    <s v="ID000003"/>
    <x v="8"/>
    <x v="8"/>
    <s v="Technova"/>
    <x v="1"/>
    <n v="12"/>
    <n v="77000"/>
    <d v="2012-03-23T00:00:00"/>
    <n v="5"/>
    <x v="2"/>
    <n v="3"/>
    <n v="3.896103896103896E-5"/>
    <b v="0"/>
    <b v="1"/>
    <x v="0"/>
    <n v="8.441558441558436E-2"/>
    <n v="1"/>
    <n v="0.45064935064935063"/>
  </r>
  <r>
    <s v="ID000007"/>
    <x v="5"/>
    <x v="5"/>
    <s v="Technova"/>
    <x v="1"/>
    <n v="2"/>
    <n v="40000"/>
    <d v="2013-12-10T00:00:00"/>
    <n v="4"/>
    <x v="1"/>
    <n v="2"/>
    <n v="5.0000000000000002E-5"/>
    <b v="0"/>
    <b v="0"/>
    <x v="0"/>
    <n v="0.25"/>
    <n v="0.75"/>
    <n v="0.45000000000000007"/>
  </r>
  <r>
    <s v="ID000330"/>
    <x v="6"/>
    <x v="6"/>
    <s v="Dataverse"/>
    <x v="0"/>
    <n v="11"/>
    <n v="40000"/>
    <d v="2007-12-10T00:00:00"/>
    <n v="4"/>
    <x v="1"/>
    <n v="2"/>
    <n v="5.0000000000000002E-5"/>
    <b v="0"/>
    <b v="1"/>
    <x v="0"/>
    <n v="0.25"/>
    <n v="0.75"/>
    <n v="0.45000000000000007"/>
  </r>
  <r>
    <s v="ID000363"/>
    <x v="0"/>
    <x v="0"/>
    <s v="Dataverse"/>
    <x v="0"/>
    <n v="17"/>
    <n v="20000"/>
    <d v="2021-04-24T00:00:00"/>
    <n v="4"/>
    <x v="0"/>
    <n v="1"/>
    <n v="5.0000000000000002E-5"/>
    <b v="1"/>
    <b v="1"/>
    <x v="0"/>
    <n v="0.25"/>
    <n v="0.75"/>
    <n v="0.45000000000000007"/>
  </r>
  <r>
    <s v="ID000459"/>
    <x v="2"/>
    <x v="2"/>
    <s v="Dataverse"/>
    <x v="0"/>
    <n v="2"/>
    <n v="40000"/>
    <d v="2012-11-14T00:00:00"/>
    <n v="4"/>
    <x v="1"/>
    <n v="2"/>
    <n v="5.0000000000000002E-5"/>
    <b v="0"/>
    <b v="0"/>
    <x v="0"/>
    <n v="0.25"/>
    <n v="0.75"/>
    <n v="0.45000000000000007"/>
  </r>
  <r>
    <s v="ID000477"/>
    <x v="0"/>
    <x v="0"/>
    <s v="Dataverse"/>
    <x v="0"/>
    <n v="19"/>
    <n v="20000"/>
    <d v="2005-09-15T00:00:00"/>
    <n v="4"/>
    <x v="0"/>
    <n v="1"/>
    <n v="5.0000000000000002E-5"/>
    <b v="1"/>
    <b v="1"/>
    <x v="0"/>
    <n v="0.25"/>
    <n v="0.75"/>
    <n v="0.45000000000000007"/>
  </r>
  <r>
    <s v="ID000491"/>
    <x v="2"/>
    <x v="2"/>
    <s v="Technova"/>
    <x v="1"/>
    <n v="14"/>
    <n v="40000"/>
    <d v="2015-08-04T00:00:00"/>
    <n v="4"/>
    <x v="1"/>
    <n v="2"/>
    <n v="5.0000000000000002E-5"/>
    <b v="0"/>
    <b v="1"/>
    <x v="0"/>
    <n v="0.25"/>
    <n v="0.75"/>
    <n v="0.45000000000000007"/>
  </r>
  <r>
    <s v="ID000507"/>
    <x v="2"/>
    <x v="2"/>
    <s v="Technova"/>
    <x v="1"/>
    <n v="18"/>
    <n v="40000"/>
    <d v="2019-04-20T00:00:00"/>
    <n v="4"/>
    <x v="1"/>
    <n v="2"/>
    <n v="5.0000000000000002E-5"/>
    <b v="1"/>
    <b v="1"/>
    <x v="0"/>
    <n v="0.25"/>
    <n v="0.75"/>
    <n v="0.45000000000000007"/>
  </r>
  <r>
    <s v="ID000562"/>
    <x v="3"/>
    <x v="3"/>
    <s v="Dataverse"/>
    <x v="0"/>
    <n v="1"/>
    <n v="40000"/>
    <d v="2012-01-25T00:00:00"/>
    <n v="4"/>
    <x v="1"/>
    <n v="2"/>
    <n v="5.0000000000000002E-5"/>
    <b v="0"/>
    <b v="0"/>
    <x v="0"/>
    <n v="0.25"/>
    <n v="0.75"/>
    <n v="0.45000000000000007"/>
  </r>
  <r>
    <s v="ID000592"/>
    <x v="3"/>
    <x v="3"/>
    <s v="Technova"/>
    <x v="1"/>
    <n v="21"/>
    <n v="40000"/>
    <d v="2020-09-28T00:00:00"/>
    <n v="4"/>
    <x v="1"/>
    <n v="2"/>
    <n v="5.0000000000000002E-5"/>
    <b v="1"/>
    <b v="1"/>
    <x v="0"/>
    <n v="0.25"/>
    <n v="0.75"/>
    <n v="0.45000000000000007"/>
  </r>
  <r>
    <s v="ID000595"/>
    <x v="3"/>
    <x v="3"/>
    <s v="Technova"/>
    <x v="1"/>
    <n v="7"/>
    <n v="40000"/>
    <d v="2023-07-12T00:00:00"/>
    <n v="4"/>
    <x v="1"/>
    <n v="2"/>
    <n v="5.0000000000000002E-5"/>
    <b v="0"/>
    <b v="1"/>
    <x v="0"/>
    <n v="0.25"/>
    <n v="0.75"/>
    <n v="0.45000000000000007"/>
  </r>
  <r>
    <s v="ID000686"/>
    <x v="1"/>
    <x v="1"/>
    <s v="Dataverse"/>
    <x v="0"/>
    <n v="12"/>
    <n v="20000"/>
    <d v="2008-04-09T00:00:00"/>
    <n v="4"/>
    <x v="0"/>
    <n v="1"/>
    <n v="5.0000000000000002E-5"/>
    <b v="0"/>
    <b v="1"/>
    <x v="0"/>
    <n v="0.25"/>
    <n v="0.75"/>
    <n v="0.45000000000000007"/>
  </r>
  <r>
    <s v="ID000924"/>
    <x v="4"/>
    <x v="4"/>
    <s v="Dataverse"/>
    <x v="0"/>
    <n v="7"/>
    <n v="40000"/>
    <d v="2017-04-22T00:00:00"/>
    <n v="4"/>
    <x v="1"/>
    <n v="2"/>
    <n v="5.0000000000000002E-5"/>
    <b v="0"/>
    <b v="1"/>
    <x v="0"/>
    <n v="0.25"/>
    <n v="0.75"/>
    <n v="0.45000000000000007"/>
  </r>
  <r>
    <s v="ID000934"/>
    <x v="1"/>
    <x v="1"/>
    <s v="Dataverse"/>
    <x v="0"/>
    <n v="24"/>
    <n v="20000"/>
    <d v="2010-12-30T00:00:00"/>
    <n v="4"/>
    <x v="0"/>
    <n v="1"/>
    <n v="5.0000000000000002E-5"/>
    <b v="1"/>
    <b v="1"/>
    <x v="0"/>
    <n v="0.25"/>
    <n v="0.75"/>
    <n v="0.45000000000000007"/>
  </r>
  <r>
    <s v="ID000947"/>
    <x v="4"/>
    <x v="4"/>
    <s v="Technova"/>
    <x v="1"/>
    <n v="19"/>
    <n v="40000"/>
    <d v="2015-05-28T00:00:00"/>
    <n v="4"/>
    <x v="1"/>
    <n v="2"/>
    <n v="5.0000000000000002E-5"/>
    <b v="1"/>
    <b v="1"/>
    <x v="0"/>
    <n v="0.25"/>
    <n v="0.75"/>
    <n v="0.45000000000000007"/>
  </r>
  <r>
    <s v="ID000518"/>
    <x v="0"/>
    <x v="0"/>
    <s v="Technova"/>
    <x v="1"/>
    <n v="17"/>
    <n v="12000"/>
    <d v="2023-07-31T00:00:00"/>
    <n v="1"/>
    <x v="0"/>
    <n v="1"/>
    <n v="8.3333333333333331E-5"/>
    <b v="1"/>
    <b v="1"/>
    <x v="0"/>
    <n v="0.74999999999999989"/>
    <n v="0"/>
    <n v="0.4499999999999999"/>
  </r>
  <r>
    <s v="ID000630"/>
    <x v="1"/>
    <x v="1"/>
    <s v="Technova"/>
    <x v="1"/>
    <n v="13"/>
    <n v="12000"/>
    <d v="2006-10-18T00:00:00"/>
    <n v="1"/>
    <x v="0"/>
    <n v="1"/>
    <n v="8.3333333333333331E-5"/>
    <b v="0"/>
    <b v="1"/>
    <x v="0"/>
    <n v="0.74999999999999989"/>
    <n v="0"/>
    <n v="0.4499999999999999"/>
  </r>
  <r>
    <s v="ID000795"/>
    <x v="1"/>
    <x v="1"/>
    <s v="Technova"/>
    <x v="1"/>
    <n v="25"/>
    <n v="12000"/>
    <d v="2005-10-08T00:00:00"/>
    <n v="1"/>
    <x v="0"/>
    <n v="1"/>
    <n v="8.3333333333333331E-5"/>
    <b v="1"/>
    <b v="1"/>
    <x v="0"/>
    <n v="0.74999999999999989"/>
    <n v="0"/>
    <n v="0.4499999999999999"/>
  </r>
  <r>
    <s v="ID000933"/>
    <x v="1"/>
    <x v="1"/>
    <s v="Dataverse"/>
    <x v="0"/>
    <n v="8"/>
    <n v="12000"/>
    <d v="2024-02-17T00:00:00"/>
    <n v="1"/>
    <x v="0"/>
    <n v="1"/>
    <n v="8.3333333333333331E-5"/>
    <b v="0"/>
    <b v="1"/>
    <x v="0"/>
    <n v="0.74999999999999989"/>
    <n v="0"/>
    <n v="0.4499999999999999"/>
  </r>
  <r>
    <s v="ID000202"/>
    <x v="8"/>
    <x v="8"/>
    <s v="Dataverse"/>
    <x v="0"/>
    <n v="11"/>
    <n v="78000"/>
    <d v="2008-10-25T00:00:00"/>
    <n v="5"/>
    <x v="2"/>
    <n v="3"/>
    <n v="3.8461538461538463E-5"/>
    <b v="0"/>
    <b v="1"/>
    <x v="0"/>
    <n v="7.6923076923076913E-2"/>
    <n v="1"/>
    <n v="0.44615384615384618"/>
  </r>
  <r>
    <s v="ID000812"/>
    <x v="5"/>
    <x v="5"/>
    <s v="Dataverse"/>
    <x v="0"/>
    <n v="21"/>
    <n v="78000"/>
    <d v="2016-04-24T00:00:00"/>
    <n v="5"/>
    <x v="2"/>
    <n v="3"/>
    <n v="3.8461538461538463E-5"/>
    <b v="1"/>
    <b v="1"/>
    <x v="0"/>
    <n v="7.6923076923076913E-2"/>
    <n v="1"/>
    <n v="0.44615384615384618"/>
  </r>
  <r>
    <s v="ID000930"/>
    <x v="1"/>
    <x v="1"/>
    <s v="Dataverse"/>
    <x v="0"/>
    <n v="1"/>
    <n v="26000"/>
    <d v="2019-10-29T00:00:00"/>
    <n v="5"/>
    <x v="0"/>
    <n v="1"/>
    <n v="3.8461538461538463E-5"/>
    <b v="0"/>
    <b v="0"/>
    <x v="0"/>
    <n v="7.6923076923076913E-2"/>
    <n v="1"/>
    <n v="0.44615384615384618"/>
  </r>
  <r>
    <s v="ID000964"/>
    <x v="1"/>
    <x v="1"/>
    <s v="Technova"/>
    <x v="1"/>
    <n v="19"/>
    <n v="26000"/>
    <d v="2004-11-07T00:00:00"/>
    <n v="5"/>
    <x v="0"/>
    <n v="1"/>
    <n v="3.8461538461538463E-5"/>
    <b v="1"/>
    <b v="1"/>
    <x v="0"/>
    <n v="7.6923076923076913E-2"/>
    <n v="1"/>
    <n v="0.44615384615384618"/>
  </r>
  <r>
    <s v="ID000035"/>
    <x v="5"/>
    <x v="5"/>
    <s v="Technova"/>
    <x v="1"/>
    <n v="18"/>
    <n v="33000"/>
    <d v="2017-02-20T00:00:00"/>
    <n v="3"/>
    <x v="1"/>
    <n v="2"/>
    <n v="6.0606060606060605E-5"/>
    <b v="1"/>
    <b v="1"/>
    <x v="0"/>
    <n v="0.40909090909090901"/>
    <n v="0.5"/>
    <n v="0.44545454545454544"/>
  </r>
  <r>
    <s v="ID000167"/>
    <x v="7"/>
    <x v="7"/>
    <s v="Technova"/>
    <x v="1"/>
    <n v="7"/>
    <n v="33000"/>
    <d v="2008-06-16T00:00:00"/>
    <n v="3"/>
    <x v="1"/>
    <n v="2"/>
    <n v="6.0606060606060605E-5"/>
    <b v="0"/>
    <b v="1"/>
    <x v="0"/>
    <n v="0.40909090909090901"/>
    <n v="0.5"/>
    <n v="0.44545454545454544"/>
  </r>
  <r>
    <s v="ID000228"/>
    <x v="7"/>
    <x v="7"/>
    <s v="Dataverse"/>
    <x v="0"/>
    <n v="14"/>
    <n v="33000"/>
    <d v="2022-02-04T00:00:00"/>
    <n v="3"/>
    <x v="1"/>
    <n v="2"/>
    <n v="6.0606060606060605E-5"/>
    <b v="0"/>
    <b v="1"/>
    <x v="0"/>
    <n v="0.40909090909090901"/>
    <n v="0.5"/>
    <n v="0.44545454545454544"/>
  </r>
  <r>
    <s v="ID000277"/>
    <x v="6"/>
    <x v="6"/>
    <s v="Technova"/>
    <x v="1"/>
    <n v="13"/>
    <n v="33000"/>
    <d v="2018-11-25T00:00:00"/>
    <n v="3"/>
    <x v="1"/>
    <n v="2"/>
    <n v="6.0606060606060605E-5"/>
    <b v="0"/>
    <b v="1"/>
    <x v="0"/>
    <n v="0.40909090909090901"/>
    <n v="0.5"/>
    <n v="0.44545454545454544"/>
  </r>
  <r>
    <s v="ID000409"/>
    <x v="0"/>
    <x v="0"/>
    <s v="Dataverse"/>
    <x v="0"/>
    <n v="11"/>
    <n v="14000"/>
    <d v="2012-10-17T00:00:00"/>
    <n v="2"/>
    <x v="0"/>
    <n v="1"/>
    <n v="7.1428571428571434E-5"/>
    <b v="0"/>
    <b v="1"/>
    <x v="0"/>
    <n v="0.57142857142857151"/>
    <n v="0.25"/>
    <n v="0.44285714285714295"/>
  </r>
  <r>
    <s v="ID000478"/>
    <x v="0"/>
    <x v="0"/>
    <s v="Dataverse"/>
    <x v="0"/>
    <n v="10"/>
    <n v="14000"/>
    <d v="2023-12-25T00:00:00"/>
    <n v="2"/>
    <x v="0"/>
    <n v="1"/>
    <n v="7.1428571428571434E-5"/>
    <b v="0"/>
    <b v="1"/>
    <x v="0"/>
    <n v="0.57142857142857151"/>
    <n v="0.25"/>
    <n v="0.44285714285714295"/>
  </r>
  <r>
    <s v="ID000005"/>
    <x v="8"/>
    <x v="8"/>
    <s v="Technova"/>
    <x v="1"/>
    <n v="9"/>
    <n v="61000"/>
    <d v="2005-08-10T00:00:00"/>
    <n v="4"/>
    <x v="2"/>
    <n v="3"/>
    <n v="4.9180327868852456E-5"/>
    <b v="0"/>
    <b v="1"/>
    <x v="0"/>
    <n v="0.23770491803278682"/>
    <n v="0.75"/>
    <n v="0.44262295081967212"/>
  </r>
  <r>
    <s v="ID000122"/>
    <x v="8"/>
    <x v="8"/>
    <s v="Technova"/>
    <x v="1"/>
    <n v="14"/>
    <n v="61000"/>
    <d v="2014-04-25T00:00:00"/>
    <n v="4"/>
    <x v="2"/>
    <n v="3"/>
    <n v="4.9180327868852456E-5"/>
    <b v="0"/>
    <b v="1"/>
    <x v="0"/>
    <n v="0.23770491803278682"/>
    <n v="0.75"/>
    <n v="0.44262295081967212"/>
  </r>
  <r>
    <s v="ID000536"/>
    <x v="5"/>
    <x v="5"/>
    <s v="Dataverse"/>
    <x v="0"/>
    <n v="11"/>
    <n v="61000"/>
    <d v="2009-04-17T00:00:00"/>
    <n v="4"/>
    <x v="2"/>
    <n v="3"/>
    <n v="4.9180327868852456E-5"/>
    <b v="0"/>
    <b v="1"/>
    <x v="0"/>
    <n v="0.23770491803278682"/>
    <n v="0.75"/>
    <n v="0.44262295081967212"/>
  </r>
  <r>
    <s v="ID000692"/>
    <x v="5"/>
    <x v="5"/>
    <s v="Technova"/>
    <x v="1"/>
    <n v="1"/>
    <n v="61000"/>
    <d v="2010-06-10T00:00:00"/>
    <n v="4"/>
    <x v="2"/>
    <n v="3"/>
    <n v="4.9180327868852456E-5"/>
    <b v="0"/>
    <b v="0"/>
    <x v="0"/>
    <n v="0.23770491803278682"/>
    <n v="0.75"/>
    <n v="0.44262295081967212"/>
  </r>
  <r>
    <s v="ID000255"/>
    <x v="9"/>
    <x v="9"/>
    <s v="Technova"/>
    <x v="1"/>
    <n v="19"/>
    <n v="79000"/>
    <d v="2015-07-01T00:00:00"/>
    <n v="5"/>
    <x v="2"/>
    <n v="3"/>
    <n v="3.79746835443038E-5"/>
    <b v="1"/>
    <b v="1"/>
    <x v="0"/>
    <n v="6.9620253164556972E-2"/>
    <n v="1"/>
    <n v="0.4417721518987342"/>
  </r>
  <r>
    <s v="ID000939"/>
    <x v="5"/>
    <x v="5"/>
    <s v="Technova"/>
    <x v="1"/>
    <n v="21"/>
    <n v="79000"/>
    <d v="2018-04-30T00:00:00"/>
    <n v="5"/>
    <x v="2"/>
    <n v="3"/>
    <n v="3.79746835443038E-5"/>
    <b v="1"/>
    <b v="1"/>
    <x v="0"/>
    <n v="6.9620253164556972E-2"/>
    <n v="1"/>
    <n v="0.4417721518987342"/>
  </r>
  <r>
    <s v="ID000083"/>
    <x v="7"/>
    <x v="7"/>
    <s v="Dataverse"/>
    <x v="0"/>
    <n v="4"/>
    <n v="41000"/>
    <d v="2013-10-16T00:00:00"/>
    <n v="4"/>
    <x v="1"/>
    <n v="2"/>
    <n v="4.8780487804878051E-5"/>
    <b v="0"/>
    <b v="0"/>
    <x v="0"/>
    <n v="0.23170731707317074"/>
    <n v="0.75"/>
    <n v="0.4390243902439025"/>
  </r>
  <r>
    <s v="ID000300"/>
    <x v="6"/>
    <x v="6"/>
    <s v="Technova"/>
    <x v="1"/>
    <n v="11"/>
    <n v="41000"/>
    <d v="2009-08-20T00:00:00"/>
    <n v="4"/>
    <x v="1"/>
    <n v="2"/>
    <n v="4.8780487804878051E-5"/>
    <b v="0"/>
    <b v="1"/>
    <x v="0"/>
    <n v="0.23170731707317074"/>
    <n v="0.75"/>
    <n v="0.4390243902439025"/>
  </r>
  <r>
    <s v="ID000462"/>
    <x v="2"/>
    <x v="2"/>
    <s v="Dataverse"/>
    <x v="0"/>
    <n v="19"/>
    <n v="41000"/>
    <d v="2006-04-03T00:00:00"/>
    <n v="4"/>
    <x v="1"/>
    <n v="2"/>
    <n v="4.8780487804878051E-5"/>
    <b v="1"/>
    <b v="1"/>
    <x v="0"/>
    <n v="0.23170731707317074"/>
    <n v="0.75"/>
    <n v="0.4390243902439025"/>
  </r>
  <r>
    <s v="ID000728"/>
    <x v="3"/>
    <x v="3"/>
    <s v="Technova"/>
    <x v="1"/>
    <n v="8"/>
    <n v="41000"/>
    <d v="2007-07-25T00:00:00"/>
    <n v="4"/>
    <x v="1"/>
    <n v="2"/>
    <n v="4.8780487804878051E-5"/>
    <b v="0"/>
    <b v="1"/>
    <x v="0"/>
    <n v="0.23170731707317074"/>
    <n v="0.75"/>
    <n v="0.4390243902439025"/>
  </r>
  <r>
    <s v="ID000925"/>
    <x v="4"/>
    <x v="4"/>
    <s v="Dataverse"/>
    <x v="0"/>
    <n v="24"/>
    <n v="41000"/>
    <d v="2017-11-14T00:00:00"/>
    <n v="4"/>
    <x v="1"/>
    <n v="2"/>
    <n v="4.8780487804878051E-5"/>
    <b v="1"/>
    <b v="1"/>
    <x v="0"/>
    <n v="0.23170731707317074"/>
    <n v="0.75"/>
    <n v="0.4390243902439025"/>
  </r>
  <r>
    <s v="ID000807"/>
    <x v="5"/>
    <x v="5"/>
    <s v="Dataverse"/>
    <x v="0"/>
    <n v="10"/>
    <n v="80000"/>
    <d v="2008-09-30T00:00:00"/>
    <n v="5"/>
    <x v="2"/>
    <n v="3"/>
    <n v="3.7499999999999997E-5"/>
    <b v="0"/>
    <b v="1"/>
    <x v="0"/>
    <n v="6.2499999999999924E-2"/>
    <n v="1"/>
    <n v="0.4375"/>
  </r>
  <r>
    <s v="ID000938"/>
    <x v="5"/>
    <x v="5"/>
    <s v="Technova"/>
    <x v="1"/>
    <n v="25"/>
    <n v="80000"/>
    <d v="2020-05-23T00:00:00"/>
    <n v="5"/>
    <x v="2"/>
    <n v="3"/>
    <n v="3.7499999999999997E-5"/>
    <b v="1"/>
    <b v="1"/>
    <x v="0"/>
    <n v="6.2499999999999924E-2"/>
    <n v="1"/>
    <n v="0.4375"/>
  </r>
  <r>
    <s v="ID000537"/>
    <x v="5"/>
    <x v="5"/>
    <s v="Dataverse"/>
    <x v="0"/>
    <n v="11"/>
    <n v="62000"/>
    <d v="2020-08-30T00:00:00"/>
    <n v="4"/>
    <x v="2"/>
    <n v="3"/>
    <n v="4.8387096774193547E-5"/>
    <b v="0"/>
    <b v="1"/>
    <x v="0"/>
    <n v="0.22580645161290316"/>
    <n v="0.75"/>
    <n v="0.43548387096774194"/>
  </r>
  <r>
    <s v="ID000633"/>
    <x v="5"/>
    <x v="5"/>
    <s v="Dataverse"/>
    <x v="0"/>
    <n v="2"/>
    <n v="62000"/>
    <d v="2007-07-12T00:00:00"/>
    <n v="4"/>
    <x v="2"/>
    <n v="3"/>
    <n v="4.8387096774193547E-5"/>
    <b v="0"/>
    <b v="0"/>
    <x v="0"/>
    <n v="0.22580645161290316"/>
    <n v="0.75"/>
    <n v="0.43548387096774194"/>
  </r>
  <r>
    <s v="ID000039"/>
    <x v="0"/>
    <x v="0"/>
    <s v="Technova"/>
    <x v="1"/>
    <n v="7"/>
    <n v="27000"/>
    <d v="2008-04-29T00:00:00"/>
    <n v="5"/>
    <x v="0"/>
    <n v="1"/>
    <n v="3.7037037037037037E-5"/>
    <b v="0"/>
    <b v="1"/>
    <x v="0"/>
    <n v="5.5555555555555525E-2"/>
    <n v="1"/>
    <n v="0.43333333333333335"/>
  </r>
  <r>
    <s v="ID000180"/>
    <x v="0"/>
    <x v="0"/>
    <s v="Technova"/>
    <x v="1"/>
    <n v="11"/>
    <n v="27000"/>
    <d v="2004-09-02T00:00:00"/>
    <n v="5"/>
    <x v="0"/>
    <n v="1"/>
    <n v="3.7037037037037037E-5"/>
    <b v="0"/>
    <b v="1"/>
    <x v="0"/>
    <n v="5.5555555555555525E-2"/>
    <n v="1"/>
    <n v="0.43333333333333335"/>
  </r>
  <r>
    <s v="ID000193"/>
    <x v="0"/>
    <x v="0"/>
    <s v="Technova"/>
    <x v="1"/>
    <n v="1"/>
    <n v="27000"/>
    <d v="2015-05-12T00:00:00"/>
    <n v="5"/>
    <x v="0"/>
    <n v="1"/>
    <n v="3.7037037037037037E-5"/>
    <b v="0"/>
    <b v="0"/>
    <x v="0"/>
    <n v="5.5555555555555525E-2"/>
    <n v="1"/>
    <n v="0.43333333333333335"/>
  </r>
  <r>
    <s v="ID000326"/>
    <x v="9"/>
    <x v="9"/>
    <s v="Dataverse"/>
    <x v="0"/>
    <n v="5"/>
    <n v="81000"/>
    <d v="2011-09-22T00:00:00"/>
    <n v="5"/>
    <x v="2"/>
    <n v="3"/>
    <n v="3.7037037037037037E-5"/>
    <b v="0"/>
    <b v="0"/>
    <x v="0"/>
    <n v="5.5555555555555525E-2"/>
    <n v="1"/>
    <n v="0.43333333333333335"/>
  </r>
  <r>
    <s v="ID000445"/>
    <x v="0"/>
    <x v="0"/>
    <s v="Technova"/>
    <x v="1"/>
    <n v="1"/>
    <n v="27000"/>
    <d v="2022-04-18T00:00:00"/>
    <n v="5"/>
    <x v="0"/>
    <n v="1"/>
    <n v="3.7037037037037037E-5"/>
    <b v="0"/>
    <b v="0"/>
    <x v="0"/>
    <n v="5.5555555555555525E-2"/>
    <n v="1"/>
    <n v="0.43333333333333335"/>
  </r>
  <r>
    <s v="ID000161"/>
    <x v="7"/>
    <x v="7"/>
    <s v="Technova"/>
    <x v="1"/>
    <n v="8"/>
    <n v="34000"/>
    <d v="2005-07-09T00:00:00"/>
    <n v="3"/>
    <x v="1"/>
    <n v="2"/>
    <n v="5.8823529411764708E-5"/>
    <b v="0"/>
    <b v="1"/>
    <x v="0"/>
    <n v="0.38235294117647056"/>
    <n v="0.5"/>
    <n v="0.42941176470588233"/>
  </r>
  <r>
    <s v="ID000554"/>
    <x v="3"/>
    <x v="3"/>
    <s v="Dataverse"/>
    <x v="0"/>
    <n v="4"/>
    <n v="34000"/>
    <d v="2024-06-13T00:00:00"/>
    <n v="3"/>
    <x v="1"/>
    <n v="2"/>
    <n v="5.8823529411764708E-5"/>
    <b v="0"/>
    <b v="0"/>
    <x v="0"/>
    <n v="0.38235294117647056"/>
    <n v="0.5"/>
    <n v="0.42941176470588233"/>
  </r>
  <r>
    <s v="ID000824"/>
    <x v="3"/>
    <x v="3"/>
    <s v="Dataverse"/>
    <x v="0"/>
    <n v="14"/>
    <n v="34000"/>
    <d v="2015-01-22T00:00:00"/>
    <n v="3"/>
    <x v="1"/>
    <n v="2"/>
    <n v="5.8823529411764708E-5"/>
    <b v="0"/>
    <b v="1"/>
    <x v="0"/>
    <n v="0.38235294117647056"/>
    <n v="0.5"/>
    <n v="0.42941176470588233"/>
  </r>
  <r>
    <s v="ID000076"/>
    <x v="5"/>
    <x v="5"/>
    <s v="Dataverse"/>
    <x v="0"/>
    <n v="17"/>
    <n v="42000"/>
    <d v="2013-04-10T00:00:00"/>
    <n v="4"/>
    <x v="1"/>
    <n v="2"/>
    <n v="4.761904761904762E-5"/>
    <b v="1"/>
    <b v="1"/>
    <x v="0"/>
    <n v="0.21428571428571427"/>
    <n v="0.75"/>
    <n v="0.4285714285714286"/>
  </r>
  <r>
    <s v="ID000249"/>
    <x v="8"/>
    <x v="8"/>
    <s v="Technova"/>
    <x v="1"/>
    <n v="9"/>
    <n v="63000"/>
    <d v="2022-09-03T00:00:00"/>
    <n v="4"/>
    <x v="2"/>
    <n v="3"/>
    <n v="4.761904761904762E-5"/>
    <b v="0"/>
    <b v="1"/>
    <x v="0"/>
    <n v="0.21428571428571427"/>
    <n v="0.75"/>
    <n v="0.4285714285714286"/>
  </r>
  <r>
    <s v="ID000319"/>
    <x v="0"/>
    <x v="0"/>
    <s v="Technova"/>
    <x v="1"/>
    <n v="8"/>
    <n v="21000"/>
    <d v="2009-05-27T00:00:00"/>
    <n v="4"/>
    <x v="0"/>
    <n v="1"/>
    <n v="4.761904761904762E-5"/>
    <b v="0"/>
    <b v="1"/>
    <x v="0"/>
    <n v="0.21428571428571427"/>
    <n v="0.75"/>
    <n v="0.4285714285714286"/>
  </r>
  <r>
    <s v="ID000516"/>
    <x v="2"/>
    <x v="2"/>
    <s v="Technova"/>
    <x v="1"/>
    <n v="15"/>
    <n v="42000"/>
    <d v="2018-02-19T00:00:00"/>
    <n v="4"/>
    <x v="1"/>
    <n v="2"/>
    <n v="4.761904761904762E-5"/>
    <b v="0"/>
    <b v="1"/>
    <x v="0"/>
    <n v="0.21428571428571427"/>
    <n v="0.75"/>
    <n v="0.4285714285714286"/>
  </r>
  <r>
    <s v="ID000558"/>
    <x v="3"/>
    <x v="3"/>
    <s v="Dataverse"/>
    <x v="0"/>
    <n v="11"/>
    <n v="42000"/>
    <d v="2021-01-25T00:00:00"/>
    <n v="4"/>
    <x v="1"/>
    <n v="2"/>
    <n v="4.761904761904762E-5"/>
    <b v="0"/>
    <b v="1"/>
    <x v="0"/>
    <n v="0.21428571428571427"/>
    <n v="0.75"/>
    <n v="0.4285714285714286"/>
  </r>
  <r>
    <s v="ID000637"/>
    <x v="5"/>
    <x v="5"/>
    <s v="Dataverse"/>
    <x v="0"/>
    <n v="23"/>
    <n v="63000"/>
    <d v="2016-10-26T00:00:00"/>
    <n v="4"/>
    <x v="2"/>
    <n v="3"/>
    <n v="4.761904761904762E-5"/>
    <b v="1"/>
    <b v="1"/>
    <x v="0"/>
    <n v="0.21428571428571427"/>
    <n v="0.75"/>
    <n v="0.4285714285714286"/>
  </r>
  <r>
    <s v="ID000726"/>
    <x v="3"/>
    <x v="3"/>
    <s v="Technova"/>
    <x v="1"/>
    <n v="16"/>
    <n v="42000"/>
    <d v="2011-07-11T00:00:00"/>
    <n v="4"/>
    <x v="1"/>
    <n v="2"/>
    <n v="4.761904761904762E-5"/>
    <b v="1"/>
    <b v="1"/>
    <x v="0"/>
    <n v="0.21428571428571427"/>
    <n v="0.75"/>
    <n v="0.4285714285714286"/>
  </r>
  <r>
    <s v="ID000888"/>
    <x v="1"/>
    <x v="1"/>
    <s v="Dataverse"/>
    <x v="0"/>
    <n v="24"/>
    <n v="21000"/>
    <d v="2010-11-17T00:00:00"/>
    <n v="4"/>
    <x v="0"/>
    <n v="1"/>
    <n v="4.761904761904762E-5"/>
    <b v="1"/>
    <b v="1"/>
    <x v="0"/>
    <n v="0.21428571428571427"/>
    <n v="0.75"/>
    <n v="0.4285714285714286"/>
  </r>
  <r>
    <s v="ID000937"/>
    <x v="5"/>
    <x v="5"/>
    <s v="Technova"/>
    <x v="1"/>
    <n v="22"/>
    <n v="63000"/>
    <d v="2017-04-10T00:00:00"/>
    <n v="4"/>
    <x v="2"/>
    <n v="3"/>
    <n v="4.761904761904762E-5"/>
    <b v="1"/>
    <b v="1"/>
    <x v="0"/>
    <n v="0.21428571428571427"/>
    <n v="0.75"/>
    <n v="0.4285714285714286"/>
  </r>
  <r>
    <s v="ID000128"/>
    <x v="8"/>
    <x v="8"/>
    <s v="Technova"/>
    <x v="1"/>
    <n v="6"/>
    <n v="83000"/>
    <d v="2008-04-11T00:00:00"/>
    <n v="5"/>
    <x v="2"/>
    <n v="3"/>
    <n v="3.614457831325301E-5"/>
    <b v="0"/>
    <b v="1"/>
    <x v="0"/>
    <n v="4.2168674698795129E-2"/>
    <n v="1"/>
    <n v="0.42530120481927708"/>
  </r>
  <r>
    <s v="ID000327"/>
    <x v="9"/>
    <x v="9"/>
    <s v="Dataverse"/>
    <x v="0"/>
    <n v="1"/>
    <n v="83000"/>
    <d v="2010-08-24T00:00:00"/>
    <n v="5"/>
    <x v="2"/>
    <n v="3"/>
    <n v="3.614457831325301E-5"/>
    <b v="0"/>
    <b v="0"/>
    <x v="0"/>
    <n v="4.2168674698795129E-2"/>
    <n v="1"/>
    <n v="0.42530120481927708"/>
  </r>
  <r>
    <s v="ID000481"/>
    <x v="9"/>
    <x v="9"/>
    <s v="Technova"/>
    <x v="1"/>
    <n v="25"/>
    <n v="64000"/>
    <d v="2015-05-16T00:00:00"/>
    <n v="4"/>
    <x v="2"/>
    <n v="3"/>
    <n v="4.6875000000000001E-5"/>
    <b v="1"/>
    <b v="1"/>
    <x v="0"/>
    <n v="0.20312499999999997"/>
    <n v="0.75"/>
    <n v="0.421875"/>
  </r>
  <r>
    <s v="ID000050"/>
    <x v="0"/>
    <x v="0"/>
    <s v="Technova"/>
    <x v="1"/>
    <n v="23"/>
    <n v="28000"/>
    <d v="2011-03-31T00:00:00"/>
    <n v="5"/>
    <x v="0"/>
    <n v="1"/>
    <n v="3.5714285714285717E-5"/>
    <b v="1"/>
    <b v="1"/>
    <x v="0"/>
    <n v="3.5714285714285726E-2"/>
    <n v="1"/>
    <n v="0.42142857142857149"/>
  </r>
  <r>
    <s v="ID000186"/>
    <x v="0"/>
    <x v="0"/>
    <s v="Technova"/>
    <x v="1"/>
    <n v="4"/>
    <n v="28000"/>
    <d v="2005-08-16T00:00:00"/>
    <n v="5"/>
    <x v="0"/>
    <n v="1"/>
    <n v="3.5714285714285717E-5"/>
    <b v="0"/>
    <b v="0"/>
    <x v="0"/>
    <n v="3.5714285714285726E-2"/>
    <n v="1"/>
    <n v="0.42142857142857149"/>
  </r>
  <r>
    <s v="ID000196"/>
    <x v="8"/>
    <x v="8"/>
    <s v="Dataverse"/>
    <x v="0"/>
    <n v="23"/>
    <n v="84000"/>
    <d v="2016-11-21T00:00:00"/>
    <n v="5"/>
    <x v="2"/>
    <n v="3"/>
    <n v="3.5714285714285717E-5"/>
    <b v="1"/>
    <b v="1"/>
    <x v="0"/>
    <n v="3.5714285714285726E-2"/>
    <n v="1"/>
    <n v="0.42142857142857149"/>
  </r>
  <r>
    <s v="ID000084"/>
    <x v="7"/>
    <x v="7"/>
    <s v="Dataverse"/>
    <x v="0"/>
    <n v="24"/>
    <n v="43000"/>
    <d v="2009-06-02T00:00:00"/>
    <n v="4"/>
    <x v="1"/>
    <n v="2"/>
    <n v="4.6511627906976741E-5"/>
    <b v="1"/>
    <b v="1"/>
    <x v="0"/>
    <n v="0.1976744186046511"/>
    <n v="0.75"/>
    <n v="0.41860465116279066"/>
  </r>
  <r>
    <s v="ID000145"/>
    <x v="7"/>
    <x v="7"/>
    <s v="Technova"/>
    <x v="1"/>
    <n v="17"/>
    <n v="43000"/>
    <d v="2011-03-26T00:00:00"/>
    <n v="4"/>
    <x v="1"/>
    <n v="2"/>
    <n v="4.6511627906976741E-5"/>
    <b v="1"/>
    <b v="1"/>
    <x v="0"/>
    <n v="0.1976744186046511"/>
    <n v="0.75"/>
    <n v="0.41860465116279066"/>
  </r>
  <r>
    <s v="ID000305"/>
    <x v="6"/>
    <x v="6"/>
    <s v="Technova"/>
    <x v="1"/>
    <n v="21"/>
    <n v="43000"/>
    <d v="2011-04-17T00:00:00"/>
    <n v="4"/>
    <x v="1"/>
    <n v="2"/>
    <n v="4.6511627906976741E-5"/>
    <b v="1"/>
    <b v="1"/>
    <x v="0"/>
    <n v="0.1976744186046511"/>
    <n v="0.75"/>
    <n v="0.41860465116279066"/>
  </r>
  <r>
    <s v="ID000663"/>
    <x v="3"/>
    <x v="3"/>
    <s v="Dataverse"/>
    <x v="0"/>
    <n v="8"/>
    <n v="43000"/>
    <d v="2023-05-28T00:00:00"/>
    <n v="4"/>
    <x v="1"/>
    <n v="2"/>
    <n v="4.6511627906976741E-5"/>
    <b v="0"/>
    <b v="1"/>
    <x v="0"/>
    <n v="0.1976744186046511"/>
    <n v="0.75"/>
    <n v="0.41860465116279066"/>
  </r>
  <r>
    <s v="ID000846"/>
    <x v="3"/>
    <x v="3"/>
    <s v="Dataverse"/>
    <x v="0"/>
    <n v="17"/>
    <n v="43000"/>
    <d v="2019-11-09T00:00:00"/>
    <n v="4"/>
    <x v="1"/>
    <n v="2"/>
    <n v="4.6511627906976741E-5"/>
    <b v="1"/>
    <b v="1"/>
    <x v="0"/>
    <n v="0.1976744186046511"/>
    <n v="0.75"/>
    <n v="0.41860465116279066"/>
  </r>
  <r>
    <s v="ID000583"/>
    <x v="5"/>
    <x v="5"/>
    <s v="Technova"/>
    <x v="1"/>
    <n v="13"/>
    <n v="85000"/>
    <d v="2018-10-16T00:00:00"/>
    <n v="5"/>
    <x v="2"/>
    <n v="3"/>
    <n v="3.529411764705882E-5"/>
    <b v="0"/>
    <b v="1"/>
    <x v="0"/>
    <n v="2.941176470588228E-2"/>
    <n v="1"/>
    <n v="0.41764705882352937"/>
  </r>
  <r>
    <s v="ID000806"/>
    <x v="5"/>
    <x v="5"/>
    <s v="Dataverse"/>
    <x v="0"/>
    <n v="23"/>
    <n v="85000"/>
    <d v="2013-03-26T00:00:00"/>
    <n v="5"/>
    <x v="2"/>
    <n v="3"/>
    <n v="3.529411764705882E-5"/>
    <b v="1"/>
    <b v="1"/>
    <x v="0"/>
    <n v="2.941176470588228E-2"/>
    <n v="1"/>
    <n v="0.41764705882352937"/>
  </r>
  <r>
    <s v="ID000970"/>
    <x v="5"/>
    <x v="5"/>
    <s v="Dataverse"/>
    <x v="0"/>
    <n v="17"/>
    <n v="65000"/>
    <d v="2019-01-26T00:00:00"/>
    <n v="4"/>
    <x v="2"/>
    <n v="3"/>
    <n v="4.6153846153846151E-5"/>
    <b v="1"/>
    <b v="1"/>
    <x v="0"/>
    <n v="0.19230769230769224"/>
    <n v="0.75"/>
    <n v="0.41538461538461535"/>
  </r>
  <r>
    <s v="ID000079"/>
    <x v="5"/>
    <x v="5"/>
    <s v="Dataverse"/>
    <x v="0"/>
    <n v="1"/>
    <n v="35000"/>
    <d v="2011-01-19T00:00:00"/>
    <n v="3"/>
    <x v="1"/>
    <n v="2"/>
    <n v="5.7142857142857142E-5"/>
    <b v="0"/>
    <b v="0"/>
    <x v="0"/>
    <n v="0.3571428571428571"/>
    <n v="0.5"/>
    <n v="0.41428571428571426"/>
  </r>
  <r>
    <s v="ID000100"/>
    <x v="7"/>
    <x v="7"/>
    <s v="Dataverse"/>
    <x v="0"/>
    <n v="24"/>
    <n v="35000"/>
    <d v="2009-07-07T00:00:00"/>
    <n v="3"/>
    <x v="1"/>
    <n v="2"/>
    <n v="5.7142857142857142E-5"/>
    <b v="1"/>
    <b v="1"/>
    <x v="0"/>
    <n v="0.3571428571428571"/>
    <n v="0.5"/>
    <n v="0.41428571428571426"/>
  </r>
  <r>
    <s v="ID000177"/>
    <x v="7"/>
    <x v="7"/>
    <s v="Technova"/>
    <x v="1"/>
    <n v="17"/>
    <n v="35000"/>
    <d v="2005-11-25T00:00:00"/>
    <n v="3"/>
    <x v="1"/>
    <n v="2"/>
    <n v="5.7142857142857142E-5"/>
    <b v="1"/>
    <b v="1"/>
    <x v="0"/>
    <n v="0.3571428571428571"/>
    <n v="0.5"/>
    <n v="0.41428571428571426"/>
  </r>
  <r>
    <s v="ID000347"/>
    <x v="2"/>
    <x v="2"/>
    <s v="Dataverse"/>
    <x v="0"/>
    <n v="25"/>
    <n v="35000"/>
    <d v="2006-01-15T00:00:00"/>
    <n v="3"/>
    <x v="1"/>
    <n v="2"/>
    <n v="5.7142857142857142E-5"/>
    <b v="1"/>
    <b v="1"/>
    <x v="0"/>
    <n v="0.3571428571428571"/>
    <n v="0.5"/>
    <n v="0.41428571428571426"/>
  </r>
  <r>
    <s v="ID000466"/>
    <x v="2"/>
    <x v="2"/>
    <s v="Dataverse"/>
    <x v="0"/>
    <n v="8"/>
    <n v="35000"/>
    <d v="2008-10-18T00:00:00"/>
    <n v="3"/>
    <x v="1"/>
    <n v="2"/>
    <n v="5.7142857142857142E-5"/>
    <b v="0"/>
    <b v="1"/>
    <x v="0"/>
    <n v="0.3571428571428571"/>
    <n v="0.5"/>
    <n v="0.41428571428571426"/>
  </r>
  <r>
    <s v="ID000715"/>
    <x v="3"/>
    <x v="3"/>
    <s v="Technova"/>
    <x v="1"/>
    <n v="3"/>
    <n v="35000"/>
    <d v="2007-07-02T00:00:00"/>
    <n v="3"/>
    <x v="1"/>
    <n v="2"/>
    <n v="5.7142857142857142E-5"/>
    <b v="0"/>
    <b v="0"/>
    <x v="0"/>
    <n v="0.3571428571428571"/>
    <n v="0.5"/>
    <n v="0.41428571428571426"/>
  </r>
  <r>
    <s v="ID000827"/>
    <x v="3"/>
    <x v="3"/>
    <s v="Dataverse"/>
    <x v="0"/>
    <n v="6"/>
    <n v="35000"/>
    <d v="2013-06-01T00:00:00"/>
    <n v="3"/>
    <x v="1"/>
    <n v="2"/>
    <n v="5.7142857142857142E-5"/>
    <b v="0"/>
    <b v="1"/>
    <x v="0"/>
    <n v="0.3571428571428571"/>
    <n v="0.5"/>
    <n v="0.41428571428571426"/>
  </r>
  <r>
    <s v="ID000908"/>
    <x v="4"/>
    <x v="4"/>
    <s v="Technova"/>
    <x v="1"/>
    <n v="20"/>
    <n v="35000"/>
    <d v="2020-03-30T00:00:00"/>
    <n v="3"/>
    <x v="1"/>
    <n v="2"/>
    <n v="5.7142857142857142E-5"/>
    <b v="1"/>
    <b v="1"/>
    <x v="0"/>
    <n v="0.3571428571428571"/>
    <n v="0.5"/>
    <n v="0.41428571428571426"/>
  </r>
  <r>
    <s v="ID000582"/>
    <x v="5"/>
    <x v="5"/>
    <s v="Technova"/>
    <x v="1"/>
    <n v="14"/>
    <n v="86000"/>
    <d v="2021-11-07T00:00:00"/>
    <n v="5"/>
    <x v="2"/>
    <n v="3"/>
    <n v="3.4883720930232556E-5"/>
    <b v="0"/>
    <b v="1"/>
    <x v="0"/>
    <n v="2.3255813953488316E-2"/>
    <n v="1"/>
    <n v="0.413953488372093"/>
  </r>
  <r>
    <s v="ID000254"/>
    <x v="9"/>
    <x v="9"/>
    <s v="Technova"/>
    <x v="1"/>
    <n v="9"/>
    <n v="87000"/>
    <d v="2017-05-27T00:00:00"/>
    <n v="5"/>
    <x v="2"/>
    <n v="3"/>
    <n v="3.4482758620689657E-5"/>
    <b v="0"/>
    <b v="1"/>
    <x v="0"/>
    <n v="1.7241379310344824E-2"/>
    <n v="1"/>
    <n v="0.41034482758620694"/>
  </r>
  <r>
    <s v="ID000521"/>
    <x v="0"/>
    <x v="0"/>
    <s v="Technova"/>
    <x v="1"/>
    <n v="2"/>
    <n v="29000"/>
    <d v="2015-03-31T00:00:00"/>
    <n v="5"/>
    <x v="0"/>
    <n v="1"/>
    <n v="3.4482758620689657E-5"/>
    <b v="0"/>
    <b v="0"/>
    <x v="0"/>
    <n v="1.7241379310344824E-2"/>
    <n v="1"/>
    <n v="0.41034482758620694"/>
  </r>
  <r>
    <s v="ID000019"/>
    <x v="5"/>
    <x v="5"/>
    <s v="Technova"/>
    <x v="1"/>
    <n v="14"/>
    <n v="44000"/>
    <d v="2020-11-16T00:00:00"/>
    <n v="4"/>
    <x v="1"/>
    <n v="2"/>
    <n v="4.5454545454545452E-5"/>
    <b v="0"/>
    <b v="1"/>
    <x v="0"/>
    <n v="0.18181818181818174"/>
    <n v="0.75"/>
    <n v="0.40909090909090906"/>
  </r>
  <r>
    <s v="ID000043"/>
    <x v="0"/>
    <x v="0"/>
    <s v="Technova"/>
    <x v="1"/>
    <n v="25"/>
    <n v="22000"/>
    <d v="2020-04-09T00:00:00"/>
    <n v="4"/>
    <x v="0"/>
    <n v="1"/>
    <n v="4.5454545454545452E-5"/>
    <b v="1"/>
    <b v="1"/>
    <x v="0"/>
    <n v="0.18181818181818174"/>
    <n v="0.75"/>
    <n v="0.40909090909090906"/>
  </r>
  <r>
    <s v="ID000307"/>
    <x v="6"/>
    <x v="6"/>
    <s v="Technova"/>
    <x v="1"/>
    <n v="13"/>
    <n v="44000"/>
    <d v="2015-07-17T00:00:00"/>
    <n v="4"/>
    <x v="1"/>
    <n v="2"/>
    <n v="4.5454545454545452E-5"/>
    <b v="0"/>
    <b v="1"/>
    <x v="0"/>
    <n v="0.18181818181818174"/>
    <n v="0.75"/>
    <n v="0.40909090909090906"/>
  </r>
  <r>
    <s v="ID000322"/>
    <x v="9"/>
    <x v="9"/>
    <s v="Dataverse"/>
    <x v="0"/>
    <n v="12"/>
    <n v="66000"/>
    <d v="2011-02-25T00:00:00"/>
    <n v="4"/>
    <x v="2"/>
    <n v="3"/>
    <n v="4.5454545454545452E-5"/>
    <b v="0"/>
    <b v="1"/>
    <x v="0"/>
    <n v="0.18181818181818174"/>
    <n v="0.75"/>
    <n v="0.40909090909090906"/>
  </r>
  <r>
    <s v="ID000367"/>
    <x v="9"/>
    <x v="9"/>
    <s v="Technova"/>
    <x v="1"/>
    <n v="4"/>
    <n v="66000"/>
    <d v="2016-01-13T00:00:00"/>
    <n v="4"/>
    <x v="2"/>
    <n v="3"/>
    <n v="4.5454545454545452E-5"/>
    <b v="0"/>
    <b v="0"/>
    <x v="0"/>
    <n v="0.18181818181818174"/>
    <n v="0.75"/>
    <n v="0.40909090909090906"/>
  </r>
  <r>
    <s v="ID000400"/>
    <x v="2"/>
    <x v="2"/>
    <s v="Dataverse"/>
    <x v="0"/>
    <n v="19"/>
    <n v="44000"/>
    <d v="2021-02-12T00:00:00"/>
    <n v="4"/>
    <x v="1"/>
    <n v="2"/>
    <n v="4.5454545454545452E-5"/>
    <b v="1"/>
    <b v="1"/>
    <x v="0"/>
    <n v="0.18181818181818174"/>
    <n v="0.75"/>
    <n v="0.40909090909090906"/>
  </r>
  <r>
    <s v="ID000504"/>
    <x v="2"/>
    <x v="2"/>
    <s v="Technova"/>
    <x v="1"/>
    <n v="17"/>
    <n v="44000"/>
    <d v="2017-02-26T00:00:00"/>
    <n v="4"/>
    <x v="1"/>
    <n v="2"/>
    <n v="4.5454545454545452E-5"/>
    <b v="1"/>
    <b v="1"/>
    <x v="0"/>
    <n v="0.18181818181818174"/>
    <n v="0.75"/>
    <n v="0.40909090909090906"/>
  </r>
  <r>
    <s v="ID000665"/>
    <x v="3"/>
    <x v="3"/>
    <s v="Dataverse"/>
    <x v="0"/>
    <n v="23"/>
    <n v="44000"/>
    <d v="2007-05-08T00:00:00"/>
    <n v="4"/>
    <x v="1"/>
    <n v="2"/>
    <n v="4.5454545454545452E-5"/>
    <b v="1"/>
    <b v="1"/>
    <x v="0"/>
    <n v="0.18181818181818174"/>
    <n v="0.75"/>
    <n v="0.40909090909090906"/>
  </r>
  <r>
    <s v="ID000745"/>
    <x v="3"/>
    <x v="3"/>
    <s v="Technova"/>
    <x v="1"/>
    <n v="18"/>
    <n v="44000"/>
    <d v="2012-01-29T00:00:00"/>
    <n v="4"/>
    <x v="1"/>
    <n v="2"/>
    <n v="4.5454545454545452E-5"/>
    <b v="1"/>
    <b v="1"/>
    <x v="0"/>
    <n v="0.18181818181818174"/>
    <n v="0.75"/>
    <n v="0.40909090909090906"/>
  </r>
  <r>
    <s v="ID000785"/>
    <x v="1"/>
    <x v="1"/>
    <s v="Technova"/>
    <x v="1"/>
    <n v="22"/>
    <n v="22000"/>
    <d v="2016-05-26T00:00:00"/>
    <n v="4"/>
    <x v="0"/>
    <n v="1"/>
    <n v="4.5454545454545452E-5"/>
    <b v="1"/>
    <b v="1"/>
    <x v="0"/>
    <n v="0.18181818181818174"/>
    <n v="0.75"/>
    <n v="0.40909090909090906"/>
  </r>
  <r>
    <s v="ID000819"/>
    <x v="3"/>
    <x v="3"/>
    <s v="Dataverse"/>
    <x v="0"/>
    <n v="19"/>
    <n v="44000"/>
    <d v="2017-01-09T00:00:00"/>
    <n v="4"/>
    <x v="1"/>
    <n v="2"/>
    <n v="4.5454545454545452E-5"/>
    <b v="1"/>
    <b v="1"/>
    <x v="0"/>
    <n v="0.18181818181818174"/>
    <n v="0.75"/>
    <n v="0.40909090909090906"/>
  </r>
  <r>
    <s v="ID000886"/>
    <x v="1"/>
    <x v="1"/>
    <s v="Dataverse"/>
    <x v="0"/>
    <n v="19"/>
    <n v="22000"/>
    <d v="2019-05-23T00:00:00"/>
    <n v="4"/>
    <x v="0"/>
    <n v="1"/>
    <n v="4.5454545454545452E-5"/>
    <b v="1"/>
    <b v="1"/>
    <x v="0"/>
    <n v="0.18181818181818174"/>
    <n v="0.75"/>
    <n v="0.40909090909090906"/>
  </r>
  <r>
    <s v="ID000123"/>
    <x v="8"/>
    <x v="8"/>
    <s v="Technova"/>
    <x v="1"/>
    <n v="2"/>
    <n v="67000"/>
    <d v="2011-03-20T00:00:00"/>
    <n v="4"/>
    <x v="2"/>
    <n v="3"/>
    <n v="4.4776119402985078E-5"/>
    <b v="0"/>
    <b v="0"/>
    <x v="0"/>
    <n v="0.17164179104477614"/>
    <n v="0.75"/>
    <n v="0.40298507462686572"/>
  </r>
  <r>
    <s v="ID000093"/>
    <x v="7"/>
    <x v="7"/>
    <s v="Dataverse"/>
    <x v="0"/>
    <n v="15"/>
    <n v="45000"/>
    <d v="2023-12-29T00:00:00"/>
    <n v="4"/>
    <x v="1"/>
    <n v="2"/>
    <n v="4.4444444444444447E-5"/>
    <b v="0"/>
    <b v="1"/>
    <x v="0"/>
    <n v="0.16666666666666666"/>
    <n v="0.75"/>
    <n v="0.4"/>
  </r>
  <r>
    <s v="ID000121"/>
    <x v="8"/>
    <x v="8"/>
    <s v="Technova"/>
    <x v="1"/>
    <n v="22"/>
    <n v="90000"/>
    <d v="2015-09-28T00:00:00"/>
    <n v="5"/>
    <x v="2"/>
    <n v="3"/>
    <n v="3.3333333333333335E-5"/>
    <b v="1"/>
    <b v="1"/>
    <x v="0"/>
    <n v="0"/>
    <n v="1"/>
    <n v="0.4"/>
  </r>
  <r>
    <s v="ID000143"/>
    <x v="7"/>
    <x v="7"/>
    <s v="Technova"/>
    <x v="1"/>
    <n v="24"/>
    <n v="36000"/>
    <d v="2015-01-19T00:00:00"/>
    <n v="3"/>
    <x v="1"/>
    <n v="2"/>
    <n v="5.5555555555555558E-5"/>
    <b v="1"/>
    <b v="1"/>
    <x v="0"/>
    <n v="0.33333333333333331"/>
    <n v="0.5"/>
    <n v="0.4"/>
  </r>
  <r>
    <s v="ID000391"/>
    <x v="0"/>
    <x v="0"/>
    <s v="Technova"/>
    <x v="1"/>
    <n v="17"/>
    <n v="15000"/>
    <d v="2017-11-10T00:00:00"/>
    <n v="2"/>
    <x v="0"/>
    <n v="1"/>
    <n v="6.666666666666667E-5"/>
    <b v="1"/>
    <b v="1"/>
    <x v="0"/>
    <n v="0.5"/>
    <n v="0.25"/>
    <n v="0.4"/>
  </r>
  <r>
    <s v="ID000392"/>
    <x v="0"/>
    <x v="0"/>
    <s v="Technova"/>
    <x v="1"/>
    <n v="8"/>
    <n v="30000"/>
    <d v="2014-11-15T00:00:00"/>
    <n v="5"/>
    <x v="0"/>
    <n v="1"/>
    <n v="3.3333333333333335E-5"/>
    <b v="0"/>
    <b v="1"/>
    <x v="0"/>
    <n v="0"/>
    <n v="1"/>
    <n v="0.4"/>
  </r>
  <r>
    <s v="ID000398"/>
    <x v="2"/>
    <x v="2"/>
    <s v="Dataverse"/>
    <x v="0"/>
    <n v="6"/>
    <n v="36000"/>
    <d v="2009-09-11T00:00:00"/>
    <n v="3"/>
    <x v="1"/>
    <n v="2"/>
    <n v="5.5555555555555558E-5"/>
    <b v="0"/>
    <b v="1"/>
    <x v="0"/>
    <n v="0.33333333333333331"/>
    <n v="0.5"/>
    <n v="0.4"/>
  </r>
  <r>
    <s v="ID000456"/>
    <x v="9"/>
    <x v="9"/>
    <s v="Dataverse"/>
    <x v="0"/>
    <n v="19"/>
    <n v="90000"/>
    <d v="2008-12-22T00:00:00"/>
    <n v="5"/>
    <x v="2"/>
    <n v="3"/>
    <n v="3.3333333333333335E-5"/>
    <b v="1"/>
    <b v="1"/>
    <x v="0"/>
    <n v="0"/>
    <n v="1"/>
    <n v="0.4"/>
  </r>
  <r>
    <s v="ID000508"/>
    <x v="2"/>
    <x v="2"/>
    <s v="Technova"/>
    <x v="1"/>
    <n v="17"/>
    <n v="36000"/>
    <d v="2010-12-18T00:00:00"/>
    <n v="3"/>
    <x v="1"/>
    <n v="2"/>
    <n v="5.5555555555555558E-5"/>
    <b v="1"/>
    <b v="1"/>
    <x v="0"/>
    <n v="0.33333333333333331"/>
    <n v="0.5"/>
    <n v="0.4"/>
  </r>
  <r>
    <s v="ID000662"/>
    <x v="3"/>
    <x v="3"/>
    <s v="Dataverse"/>
    <x v="0"/>
    <n v="14"/>
    <n v="36000"/>
    <d v="2014-05-02T00:00:00"/>
    <n v="3"/>
    <x v="1"/>
    <n v="2"/>
    <n v="5.5555555555555558E-5"/>
    <b v="0"/>
    <b v="1"/>
    <x v="0"/>
    <n v="0.33333333333333331"/>
    <n v="0.5"/>
    <n v="0.4"/>
  </r>
  <r>
    <s v="ID000684"/>
    <x v="1"/>
    <x v="1"/>
    <s v="Dataverse"/>
    <x v="0"/>
    <n v="15"/>
    <n v="30000"/>
    <d v="2007-06-23T00:00:00"/>
    <n v="5"/>
    <x v="0"/>
    <n v="1"/>
    <n v="3.3333333333333335E-5"/>
    <b v="0"/>
    <b v="1"/>
    <x v="0"/>
    <n v="0"/>
    <n v="1"/>
    <n v="0.4"/>
  </r>
  <r>
    <s v="ID000690"/>
    <x v="1"/>
    <x v="1"/>
    <s v="Dataverse"/>
    <x v="0"/>
    <n v="12"/>
    <n v="18000"/>
    <d v="2006-01-14T00:00:00"/>
    <n v="3"/>
    <x v="0"/>
    <n v="1"/>
    <n v="5.5555555555555558E-5"/>
    <b v="0"/>
    <b v="1"/>
    <x v="0"/>
    <n v="0.33333333333333331"/>
    <n v="0.5"/>
    <n v="0.4"/>
  </r>
  <r>
    <s v="ID000699"/>
    <x v="5"/>
    <x v="5"/>
    <s v="Technova"/>
    <x v="1"/>
    <n v="15"/>
    <n v="90000"/>
    <d v="2015-04-20T00:00:00"/>
    <n v="5"/>
    <x v="2"/>
    <n v="3"/>
    <n v="3.3333333333333335E-5"/>
    <b v="0"/>
    <b v="1"/>
    <x v="0"/>
    <n v="0"/>
    <n v="1"/>
    <n v="0.4"/>
  </r>
  <r>
    <s v="ID000763"/>
    <x v="3"/>
    <x v="3"/>
    <s v="Technova"/>
    <x v="1"/>
    <n v="9"/>
    <n v="45000"/>
    <d v="2022-11-12T00:00:00"/>
    <n v="4"/>
    <x v="1"/>
    <n v="2"/>
    <n v="4.4444444444444447E-5"/>
    <b v="0"/>
    <b v="1"/>
    <x v="0"/>
    <n v="0.16666666666666666"/>
    <n v="0.75"/>
    <n v="0.4"/>
  </r>
  <r>
    <s v="ID000792"/>
    <x v="1"/>
    <x v="1"/>
    <s v="Technova"/>
    <x v="1"/>
    <n v="14"/>
    <n v="30000"/>
    <d v="2020-05-12T00:00:00"/>
    <n v="5"/>
    <x v="0"/>
    <n v="1"/>
    <n v="3.3333333333333335E-5"/>
    <b v="0"/>
    <b v="1"/>
    <x v="0"/>
    <n v="0"/>
    <n v="1"/>
    <n v="0.4"/>
  </r>
  <r>
    <s v="ID000834"/>
    <x v="3"/>
    <x v="3"/>
    <s v="Dataverse"/>
    <x v="0"/>
    <n v="21"/>
    <n v="36000"/>
    <d v="2012-02-22T00:00:00"/>
    <n v="3"/>
    <x v="1"/>
    <n v="2"/>
    <n v="5.5555555555555558E-5"/>
    <b v="1"/>
    <b v="1"/>
    <x v="0"/>
    <n v="0.33333333333333331"/>
    <n v="0.5"/>
    <n v="0.4"/>
  </r>
  <r>
    <s v="ID000916"/>
    <x v="5"/>
    <x v="5"/>
    <s v="Dataverse"/>
    <x v="0"/>
    <n v="12"/>
    <n v="90000"/>
    <d v="2014-02-20T00:00:00"/>
    <n v="5"/>
    <x v="2"/>
    <n v="3"/>
    <n v="3.3333333333333335E-5"/>
    <b v="0"/>
    <b v="1"/>
    <x v="0"/>
    <n v="0"/>
    <n v="1"/>
    <n v="0.4"/>
  </r>
  <r>
    <s v="ID000975"/>
    <x v="4"/>
    <x v="4"/>
    <s v="Dataverse"/>
    <x v="0"/>
    <n v="15"/>
    <n v="36000"/>
    <d v="2010-02-25T00:00:00"/>
    <n v="3"/>
    <x v="1"/>
    <n v="2"/>
    <n v="5.5555555555555558E-5"/>
    <b v="0"/>
    <b v="1"/>
    <x v="0"/>
    <n v="0.33333333333333331"/>
    <n v="0.5"/>
    <n v="0.4"/>
  </r>
  <r>
    <s v="ID000995"/>
    <x v="1"/>
    <x v="1"/>
    <s v="Dataverse"/>
    <x v="0"/>
    <n v="14"/>
    <n v="18000"/>
    <d v="2020-11-16T00:00:00"/>
    <n v="3"/>
    <x v="0"/>
    <n v="1"/>
    <n v="5.5555555555555558E-5"/>
    <b v="0"/>
    <b v="1"/>
    <x v="0"/>
    <n v="0.33333333333333331"/>
    <n v="0.5"/>
    <n v="0.4"/>
  </r>
  <r>
    <s v="ID000996"/>
    <x v="1"/>
    <x v="1"/>
    <s v="Dataverse"/>
    <x v="0"/>
    <n v="13"/>
    <n v="30000"/>
    <d v="2023-01-12T00:00:00"/>
    <n v="5"/>
    <x v="0"/>
    <n v="1"/>
    <n v="3.3333333333333335E-5"/>
    <b v="0"/>
    <b v="1"/>
    <x v="0"/>
    <n v="0"/>
    <n v="1"/>
    <n v="0.4"/>
  </r>
  <r>
    <s v="ID000185"/>
    <x v="0"/>
    <x v="0"/>
    <s v="Technova"/>
    <x v="1"/>
    <n v="12"/>
    <n v="13000"/>
    <d v="2023-02-10T00:00:00"/>
    <n v="1"/>
    <x v="0"/>
    <n v="1"/>
    <n v="7.6923076923076926E-5"/>
    <b v="0"/>
    <b v="1"/>
    <x v="0"/>
    <n v="0.65384615384615385"/>
    <n v="0"/>
    <n v="0.3923076923076923"/>
  </r>
  <r>
    <s v="ID000318"/>
    <x v="0"/>
    <x v="0"/>
    <s v="Technova"/>
    <x v="1"/>
    <n v="20"/>
    <n v="13000"/>
    <d v="2011-09-10T00:00:00"/>
    <n v="1"/>
    <x v="0"/>
    <n v="1"/>
    <n v="7.6923076923076926E-5"/>
    <b v="1"/>
    <b v="1"/>
    <x v="0"/>
    <n v="0.65384615384615385"/>
    <n v="0"/>
    <n v="0.3923076923076923"/>
  </r>
  <r>
    <s v="ID000889"/>
    <x v="1"/>
    <x v="1"/>
    <s v="Dataverse"/>
    <x v="0"/>
    <n v="4"/>
    <n v="13000"/>
    <d v="2020-07-13T00:00:00"/>
    <n v="1"/>
    <x v="0"/>
    <n v="1"/>
    <n v="7.6923076923076926E-5"/>
    <b v="0"/>
    <b v="0"/>
    <x v="0"/>
    <n v="0.65384615384615385"/>
    <n v="0"/>
    <n v="0.3923076923076923"/>
  </r>
  <r>
    <s v="ID000961"/>
    <x v="1"/>
    <x v="1"/>
    <s v="Technova"/>
    <x v="1"/>
    <n v="22"/>
    <n v="13000"/>
    <d v="2007-04-19T00:00:00"/>
    <n v="1"/>
    <x v="0"/>
    <n v="1"/>
    <n v="7.6923076923076926E-5"/>
    <b v="1"/>
    <b v="1"/>
    <x v="0"/>
    <n v="0.65384615384615385"/>
    <n v="0"/>
    <n v="0.3923076923076923"/>
  </r>
  <r>
    <s v="ID000021"/>
    <x v="5"/>
    <x v="5"/>
    <s v="Technova"/>
    <x v="1"/>
    <n v="19"/>
    <n v="46000"/>
    <d v="2006-01-06T00:00:00"/>
    <n v="4"/>
    <x v="1"/>
    <n v="2"/>
    <n v="4.347826086956522E-5"/>
    <b v="1"/>
    <b v="1"/>
    <x v="0"/>
    <n v="0.15217391304347827"/>
    <n v="0.75"/>
    <n v="0.39130434782608703"/>
  </r>
  <r>
    <s v="ID000103"/>
    <x v="7"/>
    <x v="7"/>
    <s v="Dataverse"/>
    <x v="0"/>
    <n v="1"/>
    <n v="46000"/>
    <d v="2017-11-30T00:00:00"/>
    <n v="4"/>
    <x v="1"/>
    <n v="2"/>
    <n v="4.347826086956522E-5"/>
    <b v="0"/>
    <b v="0"/>
    <x v="0"/>
    <n v="0.15217391304347827"/>
    <n v="0.75"/>
    <n v="0.39130434782608703"/>
  </r>
  <r>
    <s v="ID000273"/>
    <x v="6"/>
    <x v="6"/>
    <s v="Technova"/>
    <x v="1"/>
    <n v="13"/>
    <n v="46000"/>
    <d v="2011-09-08T00:00:00"/>
    <n v="4"/>
    <x v="1"/>
    <n v="2"/>
    <n v="4.347826086956522E-5"/>
    <b v="0"/>
    <b v="1"/>
    <x v="0"/>
    <n v="0.15217391304347827"/>
    <n v="0.75"/>
    <n v="0.39130434782608703"/>
  </r>
  <r>
    <s v="ID000448"/>
    <x v="0"/>
    <x v="0"/>
    <s v="Technova"/>
    <x v="1"/>
    <n v="2"/>
    <n v="23000"/>
    <d v="2004-11-21T00:00:00"/>
    <n v="4"/>
    <x v="0"/>
    <n v="1"/>
    <n v="4.347826086956522E-5"/>
    <b v="0"/>
    <b v="0"/>
    <x v="0"/>
    <n v="0.15217391304347827"/>
    <n v="0.75"/>
    <n v="0.39130434782608703"/>
  </r>
  <r>
    <s v="ID000471"/>
    <x v="2"/>
    <x v="2"/>
    <s v="Dataverse"/>
    <x v="0"/>
    <n v="25"/>
    <n v="46000"/>
    <d v="2004-09-01T00:00:00"/>
    <n v="4"/>
    <x v="1"/>
    <n v="2"/>
    <n v="4.347826086956522E-5"/>
    <b v="1"/>
    <b v="1"/>
    <x v="0"/>
    <n v="0.15217391304347827"/>
    <n v="0.75"/>
    <n v="0.39130434782608703"/>
  </r>
  <r>
    <s v="ID000497"/>
    <x v="2"/>
    <x v="2"/>
    <s v="Technova"/>
    <x v="1"/>
    <n v="16"/>
    <n v="46000"/>
    <d v="2014-03-19T00:00:00"/>
    <n v="4"/>
    <x v="1"/>
    <n v="2"/>
    <n v="4.347826086956522E-5"/>
    <b v="1"/>
    <b v="1"/>
    <x v="0"/>
    <n v="0.15217391304347827"/>
    <n v="0.75"/>
    <n v="0.39130434782608703"/>
  </r>
  <r>
    <s v="ID000635"/>
    <x v="5"/>
    <x v="5"/>
    <s v="Dataverse"/>
    <x v="0"/>
    <n v="14"/>
    <n v="69000"/>
    <d v="2016-08-05T00:00:00"/>
    <n v="4"/>
    <x v="2"/>
    <n v="3"/>
    <n v="4.347826086956522E-5"/>
    <b v="0"/>
    <b v="1"/>
    <x v="0"/>
    <n v="0.15217391304347827"/>
    <n v="0.75"/>
    <n v="0.39130434782608703"/>
  </r>
  <r>
    <s v="ID000754"/>
    <x v="3"/>
    <x v="3"/>
    <s v="Technova"/>
    <x v="1"/>
    <n v="2"/>
    <n v="46000"/>
    <d v="2004-12-08T00:00:00"/>
    <n v="4"/>
    <x v="1"/>
    <n v="2"/>
    <n v="4.347826086956522E-5"/>
    <b v="0"/>
    <b v="0"/>
    <x v="0"/>
    <n v="0.15217391304347827"/>
    <n v="0.75"/>
    <n v="0.39130434782608703"/>
  </r>
  <r>
    <s v="ID000773"/>
    <x v="3"/>
    <x v="3"/>
    <s v="Technova"/>
    <x v="1"/>
    <n v="18"/>
    <n v="46000"/>
    <d v="2021-11-17T00:00:00"/>
    <n v="4"/>
    <x v="1"/>
    <n v="2"/>
    <n v="4.347826086956522E-5"/>
    <b v="1"/>
    <b v="1"/>
    <x v="0"/>
    <n v="0.15217391304347827"/>
    <n v="0.75"/>
    <n v="0.39130434782608703"/>
  </r>
  <r>
    <s v="ID000941"/>
    <x v="4"/>
    <x v="4"/>
    <s v="Technova"/>
    <x v="1"/>
    <n v="18"/>
    <n v="46000"/>
    <d v="2016-06-12T00:00:00"/>
    <n v="4"/>
    <x v="1"/>
    <n v="2"/>
    <n v="4.347826086956522E-5"/>
    <b v="1"/>
    <b v="1"/>
    <x v="0"/>
    <n v="0.15217391304347827"/>
    <n v="0.75"/>
    <n v="0.39130434782608703"/>
  </r>
  <r>
    <s v="ID000993"/>
    <x v="1"/>
    <x v="1"/>
    <s v="Dataverse"/>
    <x v="0"/>
    <n v="1"/>
    <n v="23000"/>
    <d v="2017-03-04T00:00:00"/>
    <n v="4"/>
    <x v="0"/>
    <n v="1"/>
    <n v="4.347826086956522E-5"/>
    <b v="0"/>
    <b v="0"/>
    <x v="0"/>
    <n v="0.15217391304347827"/>
    <n v="0.75"/>
    <n v="0.39130434782608703"/>
  </r>
  <r>
    <s v="ID000027"/>
    <x v="5"/>
    <x v="5"/>
    <s v="Technova"/>
    <x v="1"/>
    <n v="25"/>
    <n v="37000"/>
    <d v="2004-10-19T00:00:00"/>
    <n v="3"/>
    <x v="1"/>
    <n v="2"/>
    <n v="5.4054054054054054E-5"/>
    <b v="1"/>
    <b v="1"/>
    <x v="0"/>
    <n v="0.31081081081081074"/>
    <n v="0.5"/>
    <n v="0.38648648648648642"/>
  </r>
  <r>
    <s v="ID000091"/>
    <x v="7"/>
    <x v="7"/>
    <s v="Dataverse"/>
    <x v="0"/>
    <n v="25"/>
    <n v="37000"/>
    <d v="2011-07-14T00:00:00"/>
    <n v="3"/>
    <x v="1"/>
    <n v="2"/>
    <n v="5.4054054054054054E-5"/>
    <b v="1"/>
    <b v="1"/>
    <x v="0"/>
    <n v="0.31081081081081074"/>
    <n v="0.5"/>
    <n v="0.38648648648648642"/>
  </r>
  <r>
    <s v="ID000097"/>
    <x v="7"/>
    <x v="7"/>
    <s v="Dataverse"/>
    <x v="0"/>
    <n v="4"/>
    <n v="37000"/>
    <d v="2006-01-13T00:00:00"/>
    <n v="3"/>
    <x v="1"/>
    <n v="2"/>
    <n v="5.4054054054054054E-5"/>
    <b v="0"/>
    <b v="0"/>
    <x v="0"/>
    <n v="0.31081081081081074"/>
    <n v="0.5"/>
    <n v="0.38648648648648642"/>
  </r>
  <r>
    <s v="ID000206"/>
    <x v="7"/>
    <x v="7"/>
    <s v="Dataverse"/>
    <x v="0"/>
    <n v="24"/>
    <n v="37000"/>
    <d v="2016-06-08T00:00:00"/>
    <n v="3"/>
    <x v="1"/>
    <n v="2"/>
    <n v="5.4054054054054054E-5"/>
    <b v="1"/>
    <b v="1"/>
    <x v="0"/>
    <n v="0.31081081081081074"/>
    <n v="0.5"/>
    <n v="0.38648648648648642"/>
  </r>
  <r>
    <s v="ID000233"/>
    <x v="6"/>
    <x v="6"/>
    <s v="Dataverse"/>
    <x v="0"/>
    <n v="4"/>
    <n v="37000"/>
    <d v="2020-10-22T00:00:00"/>
    <n v="3"/>
    <x v="1"/>
    <n v="2"/>
    <n v="5.4054054054054054E-5"/>
    <b v="0"/>
    <b v="0"/>
    <x v="0"/>
    <n v="0.31081081081081074"/>
    <n v="0.5"/>
    <n v="0.38648648648648642"/>
  </r>
  <r>
    <s v="ID000658"/>
    <x v="3"/>
    <x v="3"/>
    <s v="Dataverse"/>
    <x v="0"/>
    <n v="19"/>
    <n v="37000"/>
    <d v="2016-04-01T00:00:00"/>
    <n v="3"/>
    <x v="1"/>
    <n v="2"/>
    <n v="5.4054054054054054E-5"/>
    <b v="1"/>
    <b v="1"/>
    <x v="0"/>
    <n v="0.31081081081081074"/>
    <n v="0.5"/>
    <n v="0.38648648648648642"/>
  </r>
  <r>
    <s v="ID000670"/>
    <x v="3"/>
    <x v="3"/>
    <s v="Dataverse"/>
    <x v="0"/>
    <n v="16"/>
    <n v="37000"/>
    <d v="2015-07-14T00:00:00"/>
    <n v="3"/>
    <x v="1"/>
    <n v="2"/>
    <n v="5.4054054054054054E-5"/>
    <b v="1"/>
    <b v="1"/>
    <x v="0"/>
    <n v="0.31081081081081074"/>
    <n v="0.5"/>
    <n v="0.38648648648648642"/>
  </r>
  <r>
    <s v="ID000813"/>
    <x v="3"/>
    <x v="3"/>
    <s v="Dataverse"/>
    <x v="0"/>
    <n v="16"/>
    <n v="37000"/>
    <d v="2009-06-12T00:00:00"/>
    <n v="3"/>
    <x v="1"/>
    <n v="2"/>
    <n v="5.4054054054054054E-5"/>
    <b v="1"/>
    <b v="1"/>
    <x v="0"/>
    <n v="0.31081081081081074"/>
    <n v="0.5"/>
    <n v="0.38648648648648642"/>
  </r>
  <r>
    <s v="ID000902"/>
    <x v="4"/>
    <x v="4"/>
    <s v="Technova"/>
    <x v="1"/>
    <n v="17"/>
    <n v="37000"/>
    <d v="2004-07-21T00:00:00"/>
    <n v="3"/>
    <x v="1"/>
    <n v="2"/>
    <n v="5.4054054054054054E-5"/>
    <b v="1"/>
    <b v="1"/>
    <x v="0"/>
    <n v="0.31081081081081074"/>
    <n v="0.5"/>
    <n v="0.38648648648648642"/>
  </r>
  <r>
    <s v="ID000707"/>
    <x v="5"/>
    <x v="5"/>
    <s v="Technova"/>
    <x v="1"/>
    <n v="6"/>
    <n v="70000"/>
    <d v="2009-04-24T00:00:00"/>
    <n v="4"/>
    <x v="2"/>
    <n v="3"/>
    <n v="4.2857142857142856E-5"/>
    <b v="0"/>
    <b v="1"/>
    <x v="0"/>
    <n v="0.14285714285714282"/>
    <n v="0.75"/>
    <n v="0.38571428571428573"/>
  </r>
  <r>
    <s v="ID000022"/>
    <x v="5"/>
    <x v="5"/>
    <s v="Technova"/>
    <x v="1"/>
    <n v="10"/>
    <n v="47000"/>
    <d v="2020-09-06T00:00:00"/>
    <n v="4"/>
    <x v="1"/>
    <n v="2"/>
    <n v="4.2553191489361704E-5"/>
    <b v="0"/>
    <b v="1"/>
    <x v="0"/>
    <n v="0.13829787234042554"/>
    <n v="0.75"/>
    <n v="0.38297872340425537"/>
  </r>
  <r>
    <s v="ID000332"/>
    <x v="6"/>
    <x v="6"/>
    <s v="Dataverse"/>
    <x v="0"/>
    <n v="25"/>
    <n v="47000"/>
    <d v="2020-08-19T00:00:00"/>
    <n v="4"/>
    <x v="1"/>
    <n v="2"/>
    <n v="4.2553191489361704E-5"/>
    <b v="1"/>
    <b v="1"/>
    <x v="0"/>
    <n v="0.13829787234042554"/>
    <n v="0.75"/>
    <n v="0.38297872340425537"/>
  </r>
  <r>
    <s v="ID000345"/>
    <x v="6"/>
    <x v="6"/>
    <s v="Dataverse"/>
    <x v="0"/>
    <n v="10"/>
    <n v="47000"/>
    <d v="2020-06-15T00:00:00"/>
    <n v="4"/>
    <x v="1"/>
    <n v="2"/>
    <n v="4.2553191489361704E-5"/>
    <b v="0"/>
    <b v="1"/>
    <x v="0"/>
    <n v="0.13829787234042554"/>
    <n v="0.75"/>
    <n v="0.38297872340425537"/>
  </r>
  <r>
    <s v="ID000374"/>
    <x v="2"/>
    <x v="2"/>
    <s v="Technova"/>
    <x v="1"/>
    <n v="21"/>
    <n v="47000"/>
    <d v="2012-03-09T00:00:00"/>
    <n v="4"/>
    <x v="1"/>
    <n v="2"/>
    <n v="4.2553191489361704E-5"/>
    <b v="1"/>
    <b v="1"/>
    <x v="0"/>
    <n v="0.13829787234042554"/>
    <n v="0.75"/>
    <n v="0.38297872340425537"/>
  </r>
  <r>
    <s v="ID000505"/>
    <x v="2"/>
    <x v="2"/>
    <s v="Technova"/>
    <x v="1"/>
    <n v="24"/>
    <n v="47000"/>
    <d v="2004-12-14T00:00:00"/>
    <n v="4"/>
    <x v="1"/>
    <n v="2"/>
    <n v="4.2553191489361704E-5"/>
    <b v="1"/>
    <b v="1"/>
    <x v="0"/>
    <n v="0.13829787234042554"/>
    <n v="0.75"/>
    <n v="0.38297872340425537"/>
  </r>
  <r>
    <s v="ID000749"/>
    <x v="3"/>
    <x v="3"/>
    <s v="Technova"/>
    <x v="1"/>
    <n v="24"/>
    <n v="47000"/>
    <d v="2017-11-13T00:00:00"/>
    <n v="4"/>
    <x v="1"/>
    <n v="2"/>
    <n v="4.2553191489361704E-5"/>
    <b v="1"/>
    <b v="1"/>
    <x v="0"/>
    <n v="0.13829787234042554"/>
    <n v="0.75"/>
    <n v="0.38297872340425537"/>
  </r>
  <r>
    <s v="ID000378"/>
    <x v="2"/>
    <x v="2"/>
    <s v="Technova"/>
    <x v="1"/>
    <n v="14"/>
    <n v="31000"/>
    <d v="2014-10-11T00:00:00"/>
    <n v="2"/>
    <x v="1"/>
    <n v="2"/>
    <n v="6.4516129032258067E-5"/>
    <b v="0"/>
    <b v="1"/>
    <x v="0"/>
    <n v="0.46774193548387094"/>
    <n v="0.25"/>
    <n v="0.38064516129032255"/>
  </r>
  <r>
    <s v="ID000512"/>
    <x v="2"/>
    <x v="2"/>
    <s v="Technova"/>
    <x v="1"/>
    <n v="17"/>
    <n v="31000"/>
    <d v="2016-11-24T00:00:00"/>
    <n v="2"/>
    <x v="1"/>
    <n v="2"/>
    <n v="6.4516129032258067E-5"/>
    <b v="1"/>
    <b v="1"/>
    <x v="0"/>
    <n v="0.46774193548387094"/>
    <n v="0.25"/>
    <n v="0.38064516129032255"/>
  </r>
  <r>
    <s v="ID000543"/>
    <x v="3"/>
    <x v="3"/>
    <s v="Dataverse"/>
    <x v="0"/>
    <n v="15"/>
    <n v="31000"/>
    <d v="2013-06-19T00:00:00"/>
    <n v="2"/>
    <x v="1"/>
    <n v="2"/>
    <n v="6.4516129032258067E-5"/>
    <b v="0"/>
    <b v="1"/>
    <x v="0"/>
    <n v="0.46774193548387094"/>
    <n v="0.25"/>
    <n v="0.38064516129032255"/>
  </r>
  <r>
    <s v="ID000753"/>
    <x v="3"/>
    <x v="3"/>
    <s v="Technova"/>
    <x v="1"/>
    <n v="22"/>
    <n v="31000"/>
    <d v="2020-06-03T00:00:00"/>
    <n v="2"/>
    <x v="1"/>
    <n v="2"/>
    <n v="6.4516129032258067E-5"/>
    <b v="1"/>
    <b v="1"/>
    <x v="0"/>
    <n v="0.46774193548387094"/>
    <n v="0.25"/>
    <n v="0.38064516129032255"/>
  </r>
  <r>
    <s v="ID000986"/>
    <x v="4"/>
    <x v="4"/>
    <s v="Dataverse"/>
    <x v="0"/>
    <n v="9"/>
    <n v="31000"/>
    <d v="2013-05-12T00:00:00"/>
    <n v="2"/>
    <x v="1"/>
    <n v="2"/>
    <n v="6.4516129032258067E-5"/>
    <b v="0"/>
    <b v="1"/>
    <x v="0"/>
    <n v="0.46774193548387094"/>
    <n v="0.25"/>
    <n v="0.38064516129032255"/>
  </r>
  <r>
    <s v="ID000632"/>
    <x v="5"/>
    <x v="5"/>
    <s v="Dataverse"/>
    <x v="0"/>
    <n v="23"/>
    <n v="71000"/>
    <d v="2009-06-15T00:00:00"/>
    <n v="4"/>
    <x v="2"/>
    <n v="3"/>
    <n v="4.2253521126760563E-5"/>
    <b v="1"/>
    <b v="1"/>
    <x v="0"/>
    <n v="0.13380281690140841"/>
    <n v="0.75"/>
    <n v="0.38028169014084512"/>
  </r>
  <r>
    <s v="ID000896"/>
    <x v="5"/>
    <x v="5"/>
    <s v="Technova"/>
    <x v="1"/>
    <n v="15"/>
    <n v="71000"/>
    <d v="2023-04-16T00:00:00"/>
    <n v="4"/>
    <x v="2"/>
    <n v="3"/>
    <n v="4.2253521126760563E-5"/>
    <b v="0"/>
    <b v="1"/>
    <x v="0"/>
    <n v="0.13380281690140841"/>
    <n v="0.75"/>
    <n v="0.38028169014084512"/>
  </r>
  <r>
    <s v="ID000112"/>
    <x v="0"/>
    <x v="0"/>
    <s v="Dataverse"/>
    <x v="0"/>
    <n v="22"/>
    <n v="24000"/>
    <d v="2020-02-02T00:00:00"/>
    <n v="4"/>
    <x v="0"/>
    <n v="1"/>
    <n v="4.1666666666666665E-5"/>
    <b v="1"/>
    <b v="1"/>
    <x v="0"/>
    <n v="0.12499999999999994"/>
    <n v="0.75"/>
    <n v="0.375"/>
  </r>
  <r>
    <s v="ID000146"/>
    <x v="7"/>
    <x v="7"/>
    <s v="Technova"/>
    <x v="1"/>
    <n v="23"/>
    <n v="48000"/>
    <d v="2007-12-18T00:00:00"/>
    <n v="4"/>
    <x v="1"/>
    <n v="2"/>
    <n v="4.1666666666666665E-5"/>
    <b v="1"/>
    <b v="1"/>
    <x v="0"/>
    <n v="0.12499999999999994"/>
    <n v="0.75"/>
    <n v="0.375"/>
  </r>
  <r>
    <s v="ID000182"/>
    <x v="0"/>
    <x v="0"/>
    <s v="Technova"/>
    <x v="1"/>
    <n v="23"/>
    <n v="24000"/>
    <d v="2024-06-08T00:00:00"/>
    <n v="4"/>
    <x v="0"/>
    <n v="1"/>
    <n v="4.1666666666666665E-5"/>
    <b v="1"/>
    <b v="1"/>
    <x v="0"/>
    <n v="0.12499999999999994"/>
    <n v="0.75"/>
    <n v="0.375"/>
  </r>
  <r>
    <s v="ID000285"/>
    <x v="6"/>
    <x v="6"/>
    <s v="Technova"/>
    <x v="1"/>
    <n v="12"/>
    <n v="48000"/>
    <d v="2019-01-31T00:00:00"/>
    <n v="4"/>
    <x v="1"/>
    <n v="2"/>
    <n v="4.1666666666666665E-5"/>
    <b v="0"/>
    <b v="1"/>
    <x v="0"/>
    <n v="0.12499999999999994"/>
    <n v="0.75"/>
    <n v="0.375"/>
  </r>
  <r>
    <s v="ID000386"/>
    <x v="2"/>
    <x v="2"/>
    <s v="Technova"/>
    <x v="1"/>
    <n v="22"/>
    <n v="48000"/>
    <d v="2012-02-29T00:00:00"/>
    <n v="4"/>
    <x v="1"/>
    <n v="2"/>
    <n v="4.1666666666666665E-5"/>
    <b v="1"/>
    <b v="1"/>
    <x v="0"/>
    <n v="0.12499999999999994"/>
    <n v="0.75"/>
    <n v="0.375"/>
  </r>
  <r>
    <s v="ID000444"/>
    <x v="0"/>
    <x v="0"/>
    <s v="Technova"/>
    <x v="1"/>
    <n v="22"/>
    <n v="24000"/>
    <d v="2020-04-02T00:00:00"/>
    <n v="4"/>
    <x v="0"/>
    <n v="1"/>
    <n v="4.1666666666666665E-5"/>
    <b v="1"/>
    <b v="1"/>
    <x v="0"/>
    <n v="0.12499999999999994"/>
    <n v="0.75"/>
    <n v="0.375"/>
  </r>
  <r>
    <s v="ID000453"/>
    <x v="9"/>
    <x v="9"/>
    <s v="Dataverse"/>
    <x v="0"/>
    <n v="8"/>
    <n v="72000"/>
    <d v="2017-09-27T00:00:00"/>
    <n v="4"/>
    <x v="2"/>
    <n v="3"/>
    <n v="4.1666666666666665E-5"/>
    <b v="0"/>
    <b v="1"/>
    <x v="0"/>
    <n v="0.12499999999999994"/>
    <n v="0.75"/>
    <n v="0.375"/>
  </r>
  <r>
    <s v="ID000642"/>
    <x v="3"/>
    <x v="3"/>
    <s v="Dataverse"/>
    <x v="0"/>
    <n v="8"/>
    <n v="48000"/>
    <d v="2014-08-03T00:00:00"/>
    <n v="4"/>
    <x v="1"/>
    <n v="2"/>
    <n v="4.1666666666666665E-5"/>
    <b v="0"/>
    <b v="1"/>
    <x v="0"/>
    <n v="0.12499999999999994"/>
    <n v="0.75"/>
    <n v="0.375"/>
  </r>
  <r>
    <s v="ID000688"/>
    <x v="1"/>
    <x v="1"/>
    <s v="Dataverse"/>
    <x v="0"/>
    <n v="16"/>
    <n v="24000"/>
    <d v="2009-09-28T00:00:00"/>
    <n v="4"/>
    <x v="0"/>
    <n v="1"/>
    <n v="4.1666666666666665E-5"/>
    <b v="1"/>
    <b v="1"/>
    <x v="0"/>
    <n v="0.12499999999999994"/>
    <n v="0.75"/>
    <n v="0.375"/>
  </r>
  <r>
    <s v="ID000750"/>
    <x v="3"/>
    <x v="3"/>
    <s v="Technova"/>
    <x v="1"/>
    <n v="20"/>
    <n v="48000"/>
    <d v="2011-12-16T00:00:00"/>
    <n v="4"/>
    <x v="1"/>
    <n v="2"/>
    <n v="4.1666666666666665E-5"/>
    <b v="1"/>
    <b v="1"/>
    <x v="0"/>
    <n v="0.12499999999999994"/>
    <n v="0.75"/>
    <n v="0.375"/>
  </r>
  <r>
    <s v="ID000881"/>
    <x v="1"/>
    <x v="1"/>
    <s v="Dataverse"/>
    <x v="0"/>
    <n v="3"/>
    <n v="24000"/>
    <d v="2008-11-21T00:00:00"/>
    <n v="4"/>
    <x v="0"/>
    <n v="1"/>
    <n v="4.1666666666666665E-5"/>
    <b v="0"/>
    <b v="0"/>
    <x v="0"/>
    <n v="0.12499999999999994"/>
    <n v="0.75"/>
    <n v="0.375"/>
  </r>
  <r>
    <s v="ID000983"/>
    <x v="4"/>
    <x v="4"/>
    <s v="Dataverse"/>
    <x v="0"/>
    <n v="7"/>
    <n v="48000"/>
    <d v="2022-05-09T00:00:00"/>
    <n v="4"/>
    <x v="1"/>
    <n v="2"/>
    <n v="4.1666666666666665E-5"/>
    <b v="0"/>
    <b v="1"/>
    <x v="0"/>
    <n v="0.12499999999999994"/>
    <n v="0.75"/>
    <n v="0.375"/>
  </r>
  <r>
    <s v="ID000272"/>
    <x v="6"/>
    <x v="6"/>
    <s v="Technova"/>
    <x v="1"/>
    <n v="12"/>
    <n v="38000"/>
    <d v="2020-12-30T00:00:00"/>
    <n v="3"/>
    <x v="1"/>
    <n v="2"/>
    <n v="5.2631578947368424E-5"/>
    <b v="0"/>
    <b v="1"/>
    <x v="0"/>
    <n v="0.28947368421052633"/>
    <n v="0.5"/>
    <n v="0.37368421052631584"/>
  </r>
  <r>
    <s v="ID000288"/>
    <x v="6"/>
    <x v="6"/>
    <s v="Technova"/>
    <x v="1"/>
    <n v="20"/>
    <n v="38000"/>
    <d v="2010-07-04T00:00:00"/>
    <n v="3"/>
    <x v="1"/>
    <n v="2"/>
    <n v="5.2631578947368424E-5"/>
    <b v="1"/>
    <b v="1"/>
    <x v="0"/>
    <n v="0.28947368421052633"/>
    <n v="0.5"/>
    <n v="0.37368421052631584"/>
  </r>
  <r>
    <s v="ID000375"/>
    <x v="2"/>
    <x v="2"/>
    <s v="Technova"/>
    <x v="1"/>
    <n v="4"/>
    <n v="38000"/>
    <d v="2012-10-19T00:00:00"/>
    <n v="3"/>
    <x v="1"/>
    <n v="2"/>
    <n v="5.2631578947368424E-5"/>
    <b v="0"/>
    <b v="0"/>
    <x v="0"/>
    <n v="0.28947368421052633"/>
    <n v="0.5"/>
    <n v="0.37368421052631584"/>
  </r>
  <r>
    <s v="ID000506"/>
    <x v="2"/>
    <x v="2"/>
    <s v="Technova"/>
    <x v="1"/>
    <n v="2"/>
    <n v="38000"/>
    <d v="2010-12-14T00:00:00"/>
    <n v="3"/>
    <x v="1"/>
    <n v="2"/>
    <n v="5.2631578947368424E-5"/>
    <b v="0"/>
    <b v="0"/>
    <x v="0"/>
    <n v="0.28947368421052633"/>
    <n v="0.5"/>
    <n v="0.37368421052631584"/>
  </r>
  <r>
    <s v="ID000542"/>
    <x v="2"/>
    <x v="2"/>
    <s v="Dataverse"/>
    <x v="0"/>
    <n v="15"/>
    <n v="38000"/>
    <d v="2019-04-16T00:00:00"/>
    <n v="3"/>
    <x v="1"/>
    <n v="2"/>
    <n v="5.2631578947368424E-5"/>
    <b v="0"/>
    <b v="1"/>
    <x v="0"/>
    <n v="0.28947368421052633"/>
    <n v="0.5"/>
    <n v="0.37368421052631584"/>
  </r>
  <r>
    <s v="ID000555"/>
    <x v="3"/>
    <x v="3"/>
    <s v="Dataverse"/>
    <x v="0"/>
    <n v="14"/>
    <n v="38000"/>
    <d v="2012-06-06T00:00:00"/>
    <n v="3"/>
    <x v="1"/>
    <n v="2"/>
    <n v="5.2631578947368424E-5"/>
    <b v="0"/>
    <b v="1"/>
    <x v="0"/>
    <n v="0.28947368421052633"/>
    <n v="0.5"/>
    <n v="0.37368421052631584"/>
  </r>
  <r>
    <s v="ID000604"/>
    <x v="3"/>
    <x v="3"/>
    <s v="Technova"/>
    <x v="1"/>
    <n v="11"/>
    <n v="38000"/>
    <d v="2010-09-10T00:00:00"/>
    <n v="3"/>
    <x v="1"/>
    <n v="2"/>
    <n v="5.2631578947368424E-5"/>
    <b v="0"/>
    <b v="1"/>
    <x v="0"/>
    <n v="0.28947368421052633"/>
    <n v="0.5"/>
    <n v="0.37368421052631584"/>
  </r>
  <r>
    <s v="ID000736"/>
    <x v="3"/>
    <x v="3"/>
    <s v="Technova"/>
    <x v="1"/>
    <n v="2"/>
    <n v="38000"/>
    <d v="2004-10-24T00:00:00"/>
    <n v="3"/>
    <x v="1"/>
    <n v="2"/>
    <n v="5.2631578947368424E-5"/>
    <b v="0"/>
    <b v="0"/>
    <x v="0"/>
    <n v="0.28947368421052633"/>
    <n v="0.5"/>
    <n v="0.37368421052631584"/>
  </r>
  <r>
    <s v="ID000872"/>
    <x v="1"/>
    <x v="1"/>
    <s v="Dataverse"/>
    <x v="0"/>
    <n v="19"/>
    <n v="19000"/>
    <d v="2017-06-11T00:00:00"/>
    <n v="3"/>
    <x v="0"/>
    <n v="1"/>
    <n v="5.2631578947368424E-5"/>
    <b v="1"/>
    <b v="1"/>
    <x v="0"/>
    <n v="0.28947368421052633"/>
    <n v="0.5"/>
    <n v="0.37368421052631584"/>
  </r>
  <r>
    <s v="ID000954"/>
    <x v="4"/>
    <x v="4"/>
    <s v="Technova"/>
    <x v="1"/>
    <n v="12"/>
    <n v="38000"/>
    <d v="2006-06-09T00:00:00"/>
    <n v="3"/>
    <x v="1"/>
    <n v="2"/>
    <n v="5.2631578947368424E-5"/>
    <b v="0"/>
    <b v="1"/>
    <x v="0"/>
    <n v="0.28947368421052633"/>
    <n v="0.5"/>
    <n v="0.37368421052631584"/>
  </r>
  <r>
    <s v="ID000074"/>
    <x v="5"/>
    <x v="5"/>
    <s v="Dataverse"/>
    <x v="0"/>
    <n v="13"/>
    <n v="49000"/>
    <d v="2023-09-12T00:00:00"/>
    <n v="4"/>
    <x v="1"/>
    <n v="2"/>
    <n v="4.0816326530612245E-5"/>
    <b v="0"/>
    <b v="1"/>
    <x v="0"/>
    <n v="0.11224489795918365"/>
    <n v="0.75"/>
    <n v="0.36734693877551022"/>
  </r>
  <r>
    <s v="ID000278"/>
    <x v="6"/>
    <x v="6"/>
    <s v="Technova"/>
    <x v="1"/>
    <n v="1"/>
    <n v="49000"/>
    <d v="2015-10-13T00:00:00"/>
    <n v="4"/>
    <x v="1"/>
    <n v="2"/>
    <n v="4.0816326530612245E-5"/>
    <b v="0"/>
    <b v="0"/>
    <x v="0"/>
    <n v="0.11224489795918365"/>
    <n v="0.75"/>
    <n v="0.36734693877551022"/>
  </r>
  <r>
    <s v="ID000301"/>
    <x v="6"/>
    <x v="6"/>
    <s v="Technova"/>
    <x v="1"/>
    <n v="3"/>
    <n v="49000"/>
    <d v="2007-05-19T00:00:00"/>
    <n v="4"/>
    <x v="1"/>
    <n v="2"/>
    <n v="4.0816326530612245E-5"/>
    <b v="0"/>
    <b v="0"/>
    <x v="0"/>
    <n v="0.11224489795918365"/>
    <n v="0.75"/>
    <n v="0.36734693877551022"/>
  </r>
  <r>
    <s v="ID000427"/>
    <x v="2"/>
    <x v="2"/>
    <s v="Technova"/>
    <x v="1"/>
    <n v="12"/>
    <n v="49000"/>
    <d v="2006-04-24T00:00:00"/>
    <n v="4"/>
    <x v="1"/>
    <n v="2"/>
    <n v="4.0816326530612245E-5"/>
    <b v="0"/>
    <b v="1"/>
    <x v="0"/>
    <n v="0.11224489795918365"/>
    <n v="0.75"/>
    <n v="0.36734693877551022"/>
  </r>
  <r>
    <s v="ID000835"/>
    <x v="3"/>
    <x v="3"/>
    <s v="Dataverse"/>
    <x v="0"/>
    <n v="14"/>
    <n v="49000"/>
    <d v="2011-02-26T00:00:00"/>
    <n v="4"/>
    <x v="1"/>
    <n v="2"/>
    <n v="4.0816326530612245E-5"/>
    <b v="0"/>
    <b v="1"/>
    <x v="0"/>
    <n v="0.11224489795918365"/>
    <n v="0.75"/>
    <n v="0.36734693877551022"/>
  </r>
  <r>
    <s v="ID000837"/>
    <x v="3"/>
    <x v="3"/>
    <s v="Dataverse"/>
    <x v="0"/>
    <n v="5"/>
    <n v="49000"/>
    <d v="2010-08-04T00:00:00"/>
    <n v="4"/>
    <x v="1"/>
    <n v="2"/>
    <n v="4.0816326530612245E-5"/>
    <b v="0"/>
    <b v="0"/>
    <x v="0"/>
    <n v="0.11224489795918365"/>
    <n v="0.75"/>
    <n v="0.36734693877551022"/>
  </r>
  <r>
    <s v="ID000059"/>
    <x v="8"/>
    <x v="8"/>
    <s v="Dataverse"/>
    <x v="0"/>
    <n v="1"/>
    <n v="74000"/>
    <d v="2010-02-19T00:00:00"/>
    <n v="4"/>
    <x v="2"/>
    <n v="3"/>
    <n v="4.0540540540540538E-5"/>
    <b v="0"/>
    <b v="0"/>
    <x v="0"/>
    <n v="0.10810810810810804"/>
    <n v="0.75"/>
    <n v="0.36486486486486486"/>
  </r>
  <r>
    <s v="ID000197"/>
    <x v="8"/>
    <x v="8"/>
    <s v="Dataverse"/>
    <x v="0"/>
    <n v="3"/>
    <n v="74000"/>
    <d v="2010-05-11T00:00:00"/>
    <n v="4"/>
    <x v="2"/>
    <n v="3"/>
    <n v="4.0540540540540538E-5"/>
    <b v="0"/>
    <b v="0"/>
    <x v="0"/>
    <n v="0.10810810810810804"/>
    <n v="0.75"/>
    <n v="0.36486486486486486"/>
  </r>
  <r>
    <s v="ID000032"/>
    <x v="5"/>
    <x v="5"/>
    <s v="Technova"/>
    <x v="1"/>
    <n v="11"/>
    <n v="32000"/>
    <d v="2018-06-23T00:00:00"/>
    <n v="2"/>
    <x v="1"/>
    <n v="2"/>
    <n v="6.2500000000000001E-5"/>
    <b v="0"/>
    <b v="1"/>
    <x v="0"/>
    <n v="0.4375"/>
    <n v="0.25"/>
    <n v="0.36250000000000004"/>
  </r>
  <r>
    <s v="ID000279"/>
    <x v="6"/>
    <x v="6"/>
    <s v="Technova"/>
    <x v="1"/>
    <n v="24"/>
    <n v="32000"/>
    <d v="2005-10-04T00:00:00"/>
    <n v="2"/>
    <x v="1"/>
    <n v="2"/>
    <n v="6.2500000000000001E-5"/>
    <b v="1"/>
    <b v="1"/>
    <x v="0"/>
    <n v="0.4375"/>
    <n v="0.25"/>
    <n v="0.36250000000000004"/>
  </r>
  <r>
    <s v="ID000355"/>
    <x v="2"/>
    <x v="2"/>
    <s v="Dataverse"/>
    <x v="0"/>
    <n v="15"/>
    <n v="32000"/>
    <d v="2021-10-09T00:00:00"/>
    <n v="2"/>
    <x v="1"/>
    <n v="2"/>
    <n v="6.2500000000000001E-5"/>
    <b v="0"/>
    <b v="1"/>
    <x v="0"/>
    <n v="0.4375"/>
    <n v="0.25"/>
    <n v="0.36250000000000004"/>
  </r>
  <r>
    <s v="ID000399"/>
    <x v="2"/>
    <x v="2"/>
    <s v="Dataverse"/>
    <x v="0"/>
    <n v="14"/>
    <n v="32000"/>
    <d v="2015-12-18T00:00:00"/>
    <n v="2"/>
    <x v="1"/>
    <n v="2"/>
    <n v="6.2500000000000001E-5"/>
    <b v="0"/>
    <b v="1"/>
    <x v="0"/>
    <n v="0.4375"/>
    <n v="0.25"/>
    <n v="0.36250000000000004"/>
  </r>
  <r>
    <s v="ID000510"/>
    <x v="2"/>
    <x v="2"/>
    <s v="Technova"/>
    <x v="1"/>
    <n v="13"/>
    <n v="32000"/>
    <d v="2018-11-29T00:00:00"/>
    <n v="2"/>
    <x v="1"/>
    <n v="2"/>
    <n v="6.2500000000000001E-5"/>
    <b v="0"/>
    <b v="1"/>
    <x v="0"/>
    <n v="0.4375"/>
    <n v="0.25"/>
    <n v="0.36250000000000004"/>
  </r>
  <r>
    <s v="ID000713"/>
    <x v="3"/>
    <x v="3"/>
    <s v="Technova"/>
    <x v="1"/>
    <n v="22"/>
    <n v="32000"/>
    <d v="2019-03-12T00:00:00"/>
    <n v="2"/>
    <x v="1"/>
    <n v="2"/>
    <n v="6.2500000000000001E-5"/>
    <b v="1"/>
    <b v="1"/>
    <x v="0"/>
    <n v="0.4375"/>
    <n v="0.25"/>
    <n v="0.36250000000000004"/>
  </r>
  <r>
    <s v="ID000777"/>
    <x v="3"/>
    <x v="3"/>
    <s v="Technova"/>
    <x v="1"/>
    <n v="22"/>
    <n v="32000"/>
    <d v="2007-01-31T00:00:00"/>
    <n v="2"/>
    <x v="1"/>
    <n v="2"/>
    <n v="6.2500000000000001E-5"/>
    <b v="1"/>
    <b v="1"/>
    <x v="0"/>
    <n v="0.4375"/>
    <n v="0.25"/>
    <n v="0.36250000000000004"/>
  </r>
  <r>
    <s v="ID000782"/>
    <x v="1"/>
    <x v="1"/>
    <s v="Technova"/>
    <x v="1"/>
    <n v="9"/>
    <n v="16000"/>
    <d v="2013-09-26T00:00:00"/>
    <n v="2"/>
    <x v="0"/>
    <n v="1"/>
    <n v="6.2500000000000001E-5"/>
    <b v="0"/>
    <b v="1"/>
    <x v="0"/>
    <n v="0.4375"/>
    <n v="0.25"/>
    <n v="0.36250000000000004"/>
  </r>
  <r>
    <s v="ID000800"/>
    <x v="1"/>
    <x v="1"/>
    <s v="Technova"/>
    <x v="1"/>
    <n v="3"/>
    <n v="16000"/>
    <d v="2006-03-27T00:00:00"/>
    <n v="2"/>
    <x v="0"/>
    <n v="1"/>
    <n v="6.2500000000000001E-5"/>
    <b v="0"/>
    <b v="0"/>
    <x v="0"/>
    <n v="0.4375"/>
    <n v="0.25"/>
    <n v="0.36250000000000004"/>
  </r>
  <r>
    <s v="ID000990"/>
    <x v="4"/>
    <x v="4"/>
    <s v="Dataverse"/>
    <x v="0"/>
    <n v="16"/>
    <n v="32000"/>
    <d v="2016-10-15T00:00:00"/>
    <n v="2"/>
    <x v="1"/>
    <n v="2"/>
    <n v="6.2500000000000001E-5"/>
    <b v="1"/>
    <b v="1"/>
    <x v="0"/>
    <n v="0.4375"/>
    <n v="0.25"/>
    <n v="0.36250000000000004"/>
  </r>
  <r>
    <s v="ID000227"/>
    <x v="7"/>
    <x v="7"/>
    <s v="Dataverse"/>
    <x v="0"/>
    <n v="11"/>
    <n v="39000"/>
    <d v="2004-08-21T00:00:00"/>
    <n v="3"/>
    <x v="1"/>
    <n v="2"/>
    <n v="5.1282051282051279E-5"/>
    <b v="0"/>
    <b v="1"/>
    <x v="0"/>
    <n v="0.26923076923076916"/>
    <n v="0.5"/>
    <n v="0.36153846153846148"/>
  </r>
  <r>
    <s v="ID000291"/>
    <x v="6"/>
    <x v="6"/>
    <s v="Technova"/>
    <x v="1"/>
    <n v="12"/>
    <n v="39000"/>
    <d v="2013-09-11T00:00:00"/>
    <n v="3"/>
    <x v="1"/>
    <n v="2"/>
    <n v="5.1282051282051279E-5"/>
    <b v="0"/>
    <b v="1"/>
    <x v="0"/>
    <n v="0.26923076923076916"/>
    <n v="0.5"/>
    <n v="0.36153846153846148"/>
  </r>
  <r>
    <s v="ID000308"/>
    <x v="6"/>
    <x v="6"/>
    <s v="Technova"/>
    <x v="1"/>
    <n v="8"/>
    <n v="39000"/>
    <d v="2011-12-17T00:00:00"/>
    <n v="3"/>
    <x v="1"/>
    <n v="2"/>
    <n v="5.1282051282051279E-5"/>
    <b v="0"/>
    <b v="1"/>
    <x v="0"/>
    <n v="0.26923076923076916"/>
    <n v="0.5"/>
    <n v="0.36153846153846148"/>
  </r>
  <r>
    <s v="ID000547"/>
    <x v="3"/>
    <x v="3"/>
    <s v="Dataverse"/>
    <x v="0"/>
    <n v="24"/>
    <n v="39000"/>
    <d v="2023-03-10T00:00:00"/>
    <n v="3"/>
    <x v="1"/>
    <n v="2"/>
    <n v="5.1282051282051279E-5"/>
    <b v="1"/>
    <b v="1"/>
    <x v="0"/>
    <n v="0.26923076923076916"/>
    <n v="0.5"/>
    <n v="0.36153846153846148"/>
  </r>
  <r>
    <s v="ID000550"/>
    <x v="3"/>
    <x v="3"/>
    <s v="Dataverse"/>
    <x v="0"/>
    <n v="20"/>
    <n v="39000"/>
    <d v="2016-03-27T00:00:00"/>
    <n v="3"/>
    <x v="1"/>
    <n v="2"/>
    <n v="5.1282051282051279E-5"/>
    <b v="1"/>
    <b v="1"/>
    <x v="0"/>
    <n v="0.26923076923076916"/>
    <n v="0.5"/>
    <n v="0.36153846153846148"/>
  </r>
  <r>
    <s v="ID000731"/>
    <x v="3"/>
    <x v="3"/>
    <s v="Technova"/>
    <x v="1"/>
    <n v="3"/>
    <n v="39000"/>
    <d v="2006-10-17T00:00:00"/>
    <n v="3"/>
    <x v="1"/>
    <n v="2"/>
    <n v="5.1282051282051279E-5"/>
    <b v="0"/>
    <b v="0"/>
    <x v="0"/>
    <n v="0.26923076923076916"/>
    <n v="0.5"/>
    <n v="0.36153846153846148"/>
  </r>
  <r>
    <s v="ID000929"/>
    <x v="4"/>
    <x v="4"/>
    <s v="Dataverse"/>
    <x v="0"/>
    <n v="17"/>
    <n v="39000"/>
    <d v="2004-09-26T00:00:00"/>
    <n v="3"/>
    <x v="1"/>
    <n v="2"/>
    <n v="5.1282051282051279E-5"/>
    <b v="1"/>
    <b v="1"/>
    <x v="0"/>
    <n v="0.26923076923076916"/>
    <n v="0.5"/>
    <n v="0.36153846153846148"/>
  </r>
  <r>
    <s v="ID000952"/>
    <x v="4"/>
    <x v="4"/>
    <s v="Technova"/>
    <x v="1"/>
    <n v="11"/>
    <n v="39000"/>
    <d v="2012-01-02T00:00:00"/>
    <n v="3"/>
    <x v="1"/>
    <n v="2"/>
    <n v="5.1282051282051279E-5"/>
    <b v="0"/>
    <b v="1"/>
    <x v="0"/>
    <n v="0.26923076923076916"/>
    <n v="0.5"/>
    <n v="0.36153846153846148"/>
  </r>
  <r>
    <s v="ID000985"/>
    <x v="4"/>
    <x v="4"/>
    <s v="Dataverse"/>
    <x v="0"/>
    <n v="4"/>
    <n v="39000"/>
    <d v="2005-09-21T00:00:00"/>
    <n v="3"/>
    <x v="1"/>
    <n v="2"/>
    <n v="5.1282051282051279E-5"/>
    <b v="0"/>
    <b v="0"/>
    <x v="0"/>
    <n v="0.26923076923076916"/>
    <n v="0.5"/>
    <n v="0.36153846153846148"/>
  </r>
  <r>
    <s v="ID000987"/>
    <x v="4"/>
    <x v="4"/>
    <s v="Dataverse"/>
    <x v="0"/>
    <n v="22"/>
    <n v="39000"/>
    <d v="2023-07-08T00:00:00"/>
    <n v="3"/>
    <x v="1"/>
    <n v="2"/>
    <n v="5.1282051282051279E-5"/>
    <b v="1"/>
    <b v="1"/>
    <x v="0"/>
    <n v="0.26923076923076916"/>
    <n v="0.5"/>
    <n v="0.36153846153846148"/>
  </r>
  <r>
    <s v="ID000075"/>
    <x v="5"/>
    <x v="5"/>
    <s v="Dataverse"/>
    <x v="0"/>
    <n v="14"/>
    <n v="50000"/>
    <d v="2013-03-16T00:00:00"/>
    <n v="4"/>
    <x v="1"/>
    <n v="2"/>
    <n v="4.0000000000000003E-5"/>
    <b v="0"/>
    <b v="1"/>
    <x v="0"/>
    <n v="0.10000000000000002"/>
    <n v="0.75"/>
    <n v="0.36000000000000004"/>
  </r>
  <r>
    <s v="ID000135"/>
    <x v="7"/>
    <x v="7"/>
    <s v="Technova"/>
    <x v="1"/>
    <n v="8"/>
    <n v="50000"/>
    <d v="2007-04-18T00:00:00"/>
    <n v="4"/>
    <x v="1"/>
    <n v="2"/>
    <n v="4.0000000000000003E-5"/>
    <b v="0"/>
    <b v="1"/>
    <x v="0"/>
    <n v="0.10000000000000002"/>
    <n v="0.75"/>
    <n v="0.36000000000000004"/>
  </r>
  <r>
    <s v="ID000302"/>
    <x v="6"/>
    <x v="6"/>
    <s v="Technova"/>
    <x v="1"/>
    <n v="23"/>
    <n v="50000"/>
    <d v="2020-08-17T00:00:00"/>
    <n v="4"/>
    <x v="1"/>
    <n v="2"/>
    <n v="4.0000000000000003E-5"/>
    <b v="1"/>
    <b v="1"/>
    <x v="0"/>
    <n v="0.10000000000000002"/>
    <n v="0.75"/>
    <n v="0.36000000000000004"/>
  </r>
  <r>
    <s v="ID000389"/>
    <x v="0"/>
    <x v="0"/>
    <s v="Technova"/>
    <x v="1"/>
    <n v="13"/>
    <n v="25000"/>
    <d v="2013-10-22T00:00:00"/>
    <n v="4"/>
    <x v="0"/>
    <n v="1"/>
    <n v="4.0000000000000003E-5"/>
    <b v="0"/>
    <b v="1"/>
    <x v="0"/>
    <n v="0.10000000000000002"/>
    <n v="0.75"/>
    <n v="0.36000000000000004"/>
  </r>
  <r>
    <s v="ID000607"/>
    <x v="3"/>
    <x v="3"/>
    <s v="Technova"/>
    <x v="1"/>
    <n v="25"/>
    <n v="50000"/>
    <d v="2004-09-14T00:00:00"/>
    <n v="4"/>
    <x v="1"/>
    <n v="2"/>
    <n v="4.0000000000000003E-5"/>
    <b v="1"/>
    <b v="1"/>
    <x v="0"/>
    <n v="0.10000000000000002"/>
    <n v="0.75"/>
    <n v="0.36000000000000004"/>
  </r>
  <r>
    <s v="ID000618"/>
    <x v="1"/>
    <x v="1"/>
    <s v="Technova"/>
    <x v="1"/>
    <n v="3"/>
    <n v="25000"/>
    <d v="2016-05-23T00:00:00"/>
    <n v="4"/>
    <x v="0"/>
    <n v="1"/>
    <n v="4.0000000000000003E-5"/>
    <b v="0"/>
    <b v="0"/>
    <x v="0"/>
    <n v="0.10000000000000002"/>
    <n v="0.75"/>
    <n v="0.36000000000000004"/>
  </r>
  <r>
    <s v="ID000783"/>
    <x v="1"/>
    <x v="1"/>
    <s v="Technova"/>
    <x v="1"/>
    <n v="14"/>
    <n v="25000"/>
    <d v="2013-08-07T00:00:00"/>
    <n v="4"/>
    <x v="0"/>
    <n v="1"/>
    <n v="4.0000000000000003E-5"/>
    <b v="0"/>
    <b v="1"/>
    <x v="0"/>
    <n v="0.10000000000000002"/>
    <n v="0.75"/>
    <n v="0.36000000000000004"/>
  </r>
  <r>
    <s v="ID000056"/>
    <x v="8"/>
    <x v="8"/>
    <s v="Dataverse"/>
    <x v="0"/>
    <n v="21"/>
    <n v="77000"/>
    <d v="2020-05-08T00:00:00"/>
    <n v="4"/>
    <x v="2"/>
    <n v="3"/>
    <n v="3.896103896103896E-5"/>
    <b v="1"/>
    <b v="1"/>
    <x v="0"/>
    <n v="8.441558441558436E-2"/>
    <n v="0.75"/>
    <n v="0.35064935064935066"/>
  </r>
  <r>
    <s v="ID000201"/>
    <x v="8"/>
    <x v="8"/>
    <s v="Dataverse"/>
    <x v="0"/>
    <n v="24"/>
    <n v="77000"/>
    <d v="2009-05-10T00:00:00"/>
    <n v="4"/>
    <x v="2"/>
    <n v="3"/>
    <n v="3.896103896103896E-5"/>
    <b v="1"/>
    <b v="1"/>
    <x v="0"/>
    <n v="8.441558441558436E-2"/>
    <n v="0.75"/>
    <n v="0.35064935064935066"/>
  </r>
  <r>
    <s v="ID000173"/>
    <x v="7"/>
    <x v="7"/>
    <s v="Technova"/>
    <x v="1"/>
    <n v="10"/>
    <n v="40000"/>
    <d v="2013-09-05T00:00:00"/>
    <n v="3"/>
    <x v="1"/>
    <n v="2"/>
    <n v="5.0000000000000002E-5"/>
    <b v="0"/>
    <b v="1"/>
    <x v="0"/>
    <n v="0.25"/>
    <n v="0.5"/>
    <n v="0.35"/>
  </r>
  <r>
    <s v="ID000209"/>
    <x v="7"/>
    <x v="7"/>
    <s v="Dataverse"/>
    <x v="0"/>
    <n v="3"/>
    <n v="40000"/>
    <d v="2005-04-06T00:00:00"/>
    <n v="3"/>
    <x v="1"/>
    <n v="2"/>
    <n v="5.0000000000000002E-5"/>
    <b v="0"/>
    <b v="0"/>
    <x v="0"/>
    <n v="0.25"/>
    <n v="0.5"/>
    <n v="0.35"/>
  </r>
  <r>
    <s v="ID000223"/>
    <x v="7"/>
    <x v="7"/>
    <s v="Dataverse"/>
    <x v="0"/>
    <n v="7"/>
    <n v="40000"/>
    <d v="2005-11-14T00:00:00"/>
    <n v="3"/>
    <x v="1"/>
    <n v="2"/>
    <n v="5.0000000000000002E-5"/>
    <b v="0"/>
    <b v="1"/>
    <x v="0"/>
    <n v="0.25"/>
    <n v="0.5"/>
    <n v="0.35"/>
  </r>
  <r>
    <s v="ID000276"/>
    <x v="6"/>
    <x v="6"/>
    <s v="Technova"/>
    <x v="1"/>
    <n v="15"/>
    <n v="40000"/>
    <d v="2015-04-30T00:00:00"/>
    <n v="3"/>
    <x v="1"/>
    <n v="2"/>
    <n v="5.0000000000000002E-5"/>
    <b v="0"/>
    <b v="1"/>
    <x v="0"/>
    <n v="0.25"/>
    <n v="0.5"/>
    <n v="0.35"/>
  </r>
  <r>
    <s v="ID000351"/>
    <x v="2"/>
    <x v="2"/>
    <s v="Dataverse"/>
    <x v="0"/>
    <n v="16"/>
    <n v="40000"/>
    <d v="2022-06-10T00:00:00"/>
    <n v="3"/>
    <x v="1"/>
    <n v="2"/>
    <n v="5.0000000000000002E-5"/>
    <b v="1"/>
    <b v="1"/>
    <x v="0"/>
    <n v="0.25"/>
    <n v="0.5"/>
    <n v="0.35"/>
  </r>
  <r>
    <s v="ID000423"/>
    <x v="2"/>
    <x v="2"/>
    <s v="Technova"/>
    <x v="1"/>
    <n v="22"/>
    <n v="40000"/>
    <d v="2013-07-01T00:00:00"/>
    <n v="3"/>
    <x v="1"/>
    <n v="2"/>
    <n v="5.0000000000000002E-5"/>
    <b v="1"/>
    <b v="1"/>
    <x v="0"/>
    <n v="0.25"/>
    <n v="0.5"/>
    <n v="0.35"/>
  </r>
  <r>
    <s v="ID000509"/>
    <x v="2"/>
    <x v="2"/>
    <s v="Technova"/>
    <x v="1"/>
    <n v="7"/>
    <n v="40000"/>
    <d v="2004-08-17T00:00:00"/>
    <n v="3"/>
    <x v="1"/>
    <n v="2"/>
    <n v="5.0000000000000002E-5"/>
    <b v="0"/>
    <b v="1"/>
    <x v="0"/>
    <n v="0.25"/>
    <n v="0.5"/>
    <n v="0.35"/>
  </r>
  <r>
    <s v="ID000541"/>
    <x v="2"/>
    <x v="2"/>
    <s v="Dataverse"/>
    <x v="0"/>
    <n v="21"/>
    <n v="40000"/>
    <d v="2006-08-09T00:00:00"/>
    <n v="3"/>
    <x v="1"/>
    <n v="2"/>
    <n v="5.0000000000000002E-5"/>
    <b v="1"/>
    <b v="1"/>
    <x v="0"/>
    <n v="0.25"/>
    <n v="0.5"/>
    <n v="0.35"/>
  </r>
  <r>
    <s v="ID000712"/>
    <x v="3"/>
    <x v="3"/>
    <s v="Technova"/>
    <x v="1"/>
    <n v="11"/>
    <n v="40000"/>
    <d v="2017-04-05T00:00:00"/>
    <n v="3"/>
    <x v="1"/>
    <n v="2"/>
    <n v="5.0000000000000002E-5"/>
    <b v="0"/>
    <b v="1"/>
    <x v="0"/>
    <n v="0.25"/>
    <n v="0.5"/>
    <n v="0.35"/>
  </r>
  <r>
    <s v="ID000723"/>
    <x v="3"/>
    <x v="3"/>
    <s v="Technova"/>
    <x v="1"/>
    <n v="7"/>
    <n v="40000"/>
    <d v="2015-04-05T00:00:00"/>
    <n v="3"/>
    <x v="1"/>
    <n v="2"/>
    <n v="5.0000000000000002E-5"/>
    <b v="0"/>
    <b v="1"/>
    <x v="0"/>
    <n v="0.25"/>
    <n v="0.5"/>
    <n v="0.35"/>
  </r>
  <r>
    <s v="ID000732"/>
    <x v="3"/>
    <x v="3"/>
    <s v="Technova"/>
    <x v="1"/>
    <n v="16"/>
    <n v="40000"/>
    <d v="2022-08-26T00:00:00"/>
    <n v="3"/>
    <x v="1"/>
    <n v="2"/>
    <n v="5.0000000000000002E-5"/>
    <b v="1"/>
    <b v="1"/>
    <x v="0"/>
    <n v="0.25"/>
    <n v="0.5"/>
    <n v="0.35"/>
  </r>
  <r>
    <s v="ID000761"/>
    <x v="3"/>
    <x v="3"/>
    <s v="Technova"/>
    <x v="1"/>
    <n v="20"/>
    <n v="40000"/>
    <d v="2006-06-17T00:00:00"/>
    <n v="3"/>
    <x v="1"/>
    <n v="2"/>
    <n v="5.0000000000000002E-5"/>
    <b v="1"/>
    <b v="1"/>
    <x v="0"/>
    <n v="0.25"/>
    <n v="0.5"/>
    <n v="0.35"/>
  </r>
  <r>
    <s v="ID000765"/>
    <x v="3"/>
    <x v="3"/>
    <s v="Technova"/>
    <x v="1"/>
    <n v="15"/>
    <n v="40000"/>
    <d v="2006-04-07T00:00:00"/>
    <n v="3"/>
    <x v="1"/>
    <n v="2"/>
    <n v="5.0000000000000002E-5"/>
    <b v="0"/>
    <b v="1"/>
    <x v="0"/>
    <n v="0.25"/>
    <n v="0.5"/>
    <n v="0.35"/>
  </r>
  <r>
    <s v="ID000781"/>
    <x v="1"/>
    <x v="1"/>
    <s v="Technova"/>
    <x v="1"/>
    <n v="10"/>
    <n v="20000"/>
    <d v="2009-10-01T00:00:00"/>
    <n v="3"/>
    <x v="0"/>
    <n v="1"/>
    <n v="5.0000000000000002E-5"/>
    <b v="0"/>
    <b v="1"/>
    <x v="0"/>
    <n v="0.25"/>
    <n v="0.5"/>
    <n v="0.35"/>
  </r>
  <r>
    <s v="ID000863"/>
    <x v="3"/>
    <x v="3"/>
    <s v="Dataverse"/>
    <x v="0"/>
    <n v="10"/>
    <n v="40000"/>
    <d v="2022-02-03T00:00:00"/>
    <n v="3"/>
    <x v="1"/>
    <n v="2"/>
    <n v="5.0000000000000002E-5"/>
    <b v="0"/>
    <b v="1"/>
    <x v="0"/>
    <n v="0.25"/>
    <n v="0.5"/>
    <n v="0.35"/>
  </r>
  <r>
    <s v="ID000973"/>
    <x v="4"/>
    <x v="4"/>
    <s v="Dataverse"/>
    <x v="0"/>
    <n v="5"/>
    <n v="40000"/>
    <d v="2018-09-14T00:00:00"/>
    <n v="3"/>
    <x v="1"/>
    <n v="2"/>
    <n v="5.0000000000000002E-5"/>
    <b v="0"/>
    <b v="0"/>
    <x v="0"/>
    <n v="0.25"/>
    <n v="0.5"/>
    <n v="0.35"/>
  </r>
  <r>
    <s v="ID000109"/>
    <x v="0"/>
    <x v="0"/>
    <s v="Dataverse"/>
    <x v="0"/>
    <n v="14"/>
    <n v="26000"/>
    <d v="2020-06-08T00:00:00"/>
    <n v="4"/>
    <x v="0"/>
    <n v="1"/>
    <n v="3.8461538461538463E-5"/>
    <b v="0"/>
    <b v="1"/>
    <x v="0"/>
    <n v="7.6923076923076913E-2"/>
    <n v="0.75"/>
    <n v="0.3461538461538462"/>
  </r>
  <r>
    <s v="ID000257"/>
    <x v="9"/>
    <x v="9"/>
    <s v="Technova"/>
    <x v="1"/>
    <n v="19"/>
    <n v="78000"/>
    <d v="2006-09-18T00:00:00"/>
    <n v="4"/>
    <x v="2"/>
    <n v="3"/>
    <n v="3.8461538461538463E-5"/>
    <b v="1"/>
    <b v="1"/>
    <x v="0"/>
    <n v="7.6923076923076913E-2"/>
    <n v="0.75"/>
    <n v="0.3461538461538462"/>
  </r>
  <r>
    <s v="ID000068"/>
    <x v="5"/>
    <x v="5"/>
    <s v="Dataverse"/>
    <x v="0"/>
    <n v="23"/>
    <n v="33000"/>
    <d v="2012-01-02T00:00:00"/>
    <n v="2"/>
    <x v="1"/>
    <n v="2"/>
    <n v="6.0606060606060605E-5"/>
    <b v="1"/>
    <b v="1"/>
    <x v="0"/>
    <n v="0.40909090909090901"/>
    <n v="0.25"/>
    <n v="0.3454545454545454"/>
  </r>
  <r>
    <s v="ID000171"/>
    <x v="7"/>
    <x v="7"/>
    <s v="Technova"/>
    <x v="1"/>
    <n v="19"/>
    <n v="33000"/>
    <d v="2022-09-29T00:00:00"/>
    <n v="2"/>
    <x v="1"/>
    <n v="2"/>
    <n v="6.0606060606060605E-5"/>
    <b v="1"/>
    <b v="1"/>
    <x v="0"/>
    <n v="0.40909090909090901"/>
    <n v="0.25"/>
    <n v="0.3454545454545454"/>
  </r>
  <r>
    <s v="ID000545"/>
    <x v="3"/>
    <x v="3"/>
    <s v="Dataverse"/>
    <x v="0"/>
    <n v="22"/>
    <n v="33000"/>
    <d v="2023-06-08T00:00:00"/>
    <n v="2"/>
    <x v="1"/>
    <n v="2"/>
    <n v="6.0606060606060605E-5"/>
    <b v="1"/>
    <b v="1"/>
    <x v="0"/>
    <n v="0.40909090909090901"/>
    <n v="0.25"/>
    <n v="0.3454545454545454"/>
  </r>
  <r>
    <s v="ID000587"/>
    <x v="3"/>
    <x v="3"/>
    <s v="Technova"/>
    <x v="1"/>
    <n v="14"/>
    <n v="33000"/>
    <d v="2019-05-12T00:00:00"/>
    <n v="2"/>
    <x v="1"/>
    <n v="2"/>
    <n v="6.0606060606060605E-5"/>
    <b v="0"/>
    <b v="1"/>
    <x v="0"/>
    <n v="0.40909090909090901"/>
    <n v="0.25"/>
    <n v="0.3454545454545454"/>
  </r>
  <r>
    <s v="ID000653"/>
    <x v="3"/>
    <x v="3"/>
    <s v="Dataverse"/>
    <x v="0"/>
    <n v="25"/>
    <n v="33000"/>
    <d v="2017-06-23T00:00:00"/>
    <n v="2"/>
    <x v="1"/>
    <n v="2"/>
    <n v="6.0606060606060605E-5"/>
    <b v="1"/>
    <b v="1"/>
    <x v="0"/>
    <n v="0.40909090909090901"/>
    <n v="0.25"/>
    <n v="0.3454545454545454"/>
  </r>
  <r>
    <s v="ID000722"/>
    <x v="3"/>
    <x v="3"/>
    <s v="Technova"/>
    <x v="1"/>
    <n v="16"/>
    <n v="33000"/>
    <d v="2014-05-15T00:00:00"/>
    <n v="2"/>
    <x v="1"/>
    <n v="2"/>
    <n v="6.0606060606060605E-5"/>
    <b v="1"/>
    <b v="1"/>
    <x v="0"/>
    <n v="0.40909090909090901"/>
    <n v="0.25"/>
    <n v="0.3454545454545454"/>
  </r>
  <r>
    <s v="ID000860"/>
    <x v="3"/>
    <x v="3"/>
    <s v="Dataverse"/>
    <x v="0"/>
    <n v="4"/>
    <n v="33000"/>
    <d v="2019-03-31T00:00:00"/>
    <n v="2"/>
    <x v="1"/>
    <n v="2"/>
    <n v="6.0606060606060605E-5"/>
    <b v="0"/>
    <b v="0"/>
    <x v="0"/>
    <n v="0.40909090909090901"/>
    <n v="0.25"/>
    <n v="0.3454545454545454"/>
  </r>
  <r>
    <s v="ID000567"/>
    <x v="1"/>
    <x v="1"/>
    <s v="Dataverse"/>
    <x v="0"/>
    <n v="14"/>
    <n v="14000"/>
    <d v="2009-02-18T00:00:00"/>
    <n v="1"/>
    <x v="0"/>
    <n v="1"/>
    <n v="7.1428571428571434E-5"/>
    <b v="0"/>
    <b v="1"/>
    <x v="0"/>
    <n v="0.57142857142857151"/>
    <n v="0"/>
    <n v="0.34285714285714292"/>
  </r>
  <r>
    <s v="ID000693"/>
    <x v="5"/>
    <x v="5"/>
    <s v="Technova"/>
    <x v="1"/>
    <n v="23"/>
    <n v="61000"/>
    <d v="2013-07-05T00:00:00"/>
    <n v="3"/>
    <x v="2"/>
    <n v="3"/>
    <n v="4.9180327868852456E-5"/>
    <b v="1"/>
    <b v="1"/>
    <x v="0"/>
    <n v="0.23770491803278682"/>
    <n v="0.5"/>
    <n v="0.34262295081967209"/>
  </r>
  <r>
    <s v="ID000137"/>
    <x v="7"/>
    <x v="7"/>
    <s v="Technova"/>
    <x v="1"/>
    <n v="6"/>
    <n v="41000"/>
    <d v="2004-07-27T00:00:00"/>
    <n v="3"/>
    <x v="1"/>
    <n v="2"/>
    <n v="4.8780487804878051E-5"/>
    <b v="0"/>
    <b v="1"/>
    <x v="0"/>
    <n v="0.23170731707317074"/>
    <n v="0.5"/>
    <n v="0.33902439024390246"/>
  </r>
  <r>
    <s v="ID000560"/>
    <x v="3"/>
    <x v="3"/>
    <s v="Dataverse"/>
    <x v="0"/>
    <n v="14"/>
    <n v="41000"/>
    <d v="2005-06-17T00:00:00"/>
    <n v="3"/>
    <x v="1"/>
    <n v="2"/>
    <n v="4.8780487804878051E-5"/>
    <b v="0"/>
    <b v="1"/>
    <x v="0"/>
    <n v="0.23170731707317074"/>
    <n v="0.5"/>
    <n v="0.33902439024390246"/>
  </r>
  <r>
    <s v="ID000589"/>
    <x v="3"/>
    <x v="3"/>
    <s v="Technova"/>
    <x v="1"/>
    <n v="17"/>
    <n v="41000"/>
    <d v="2012-01-29T00:00:00"/>
    <n v="3"/>
    <x v="1"/>
    <n v="2"/>
    <n v="4.8780487804878051E-5"/>
    <b v="1"/>
    <b v="1"/>
    <x v="0"/>
    <n v="0.23170731707317074"/>
    <n v="0.5"/>
    <n v="0.33902439024390246"/>
  </r>
  <r>
    <s v="ID000647"/>
    <x v="3"/>
    <x v="3"/>
    <s v="Dataverse"/>
    <x v="0"/>
    <n v="18"/>
    <n v="41000"/>
    <d v="2022-01-22T00:00:00"/>
    <n v="3"/>
    <x v="1"/>
    <n v="2"/>
    <n v="4.8780487804878051E-5"/>
    <b v="1"/>
    <b v="1"/>
    <x v="0"/>
    <n v="0.23170731707317074"/>
    <n v="0.5"/>
    <n v="0.33902439024390246"/>
  </r>
  <r>
    <s v="ID000720"/>
    <x v="3"/>
    <x v="3"/>
    <s v="Technova"/>
    <x v="1"/>
    <n v="21"/>
    <n v="41000"/>
    <d v="2010-01-25T00:00:00"/>
    <n v="3"/>
    <x v="1"/>
    <n v="2"/>
    <n v="4.8780487804878051E-5"/>
    <b v="1"/>
    <b v="1"/>
    <x v="0"/>
    <n v="0.23170731707317074"/>
    <n v="0.5"/>
    <n v="0.33902439024390246"/>
  </r>
  <r>
    <s v="ID000920"/>
    <x v="4"/>
    <x v="4"/>
    <s v="Dataverse"/>
    <x v="0"/>
    <n v="22"/>
    <n v="41000"/>
    <d v="2017-01-20T00:00:00"/>
    <n v="3"/>
    <x v="1"/>
    <n v="2"/>
    <n v="4.8780487804878051E-5"/>
    <b v="1"/>
    <b v="1"/>
    <x v="0"/>
    <n v="0.23170731707317074"/>
    <n v="0.5"/>
    <n v="0.33902439024390246"/>
  </r>
  <r>
    <s v="ID000979"/>
    <x v="4"/>
    <x v="4"/>
    <s v="Dataverse"/>
    <x v="0"/>
    <n v="7"/>
    <n v="41000"/>
    <d v="2016-06-22T00:00:00"/>
    <n v="3"/>
    <x v="1"/>
    <n v="2"/>
    <n v="4.8780487804878051E-5"/>
    <b v="0"/>
    <b v="1"/>
    <x v="0"/>
    <n v="0.23170731707317074"/>
    <n v="0.5"/>
    <n v="0.33902439024390246"/>
  </r>
  <r>
    <s v="ID000125"/>
    <x v="8"/>
    <x v="8"/>
    <s v="Technova"/>
    <x v="1"/>
    <n v="18"/>
    <n v="62000"/>
    <d v="2015-04-24T00:00:00"/>
    <n v="3"/>
    <x v="2"/>
    <n v="3"/>
    <n v="4.8387096774193547E-5"/>
    <b v="1"/>
    <b v="1"/>
    <x v="0"/>
    <n v="0.22580645161290316"/>
    <n v="0.5"/>
    <n v="0.3354838709677419"/>
  </r>
  <r>
    <s v="ID000311"/>
    <x v="0"/>
    <x v="0"/>
    <s v="Technova"/>
    <x v="1"/>
    <n v="21"/>
    <n v="27000"/>
    <d v="2018-05-17T00:00:00"/>
    <n v="4"/>
    <x v="0"/>
    <n v="1"/>
    <n v="3.7037037037037037E-5"/>
    <b v="1"/>
    <b v="1"/>
    <x v="0"/>
    <n v="5.5555555555555525E-2"/>
    <n v="0.75"/>
    <n v="0.33333333333333337"/>
  </r>
  <r>
    <s v="ID000517"/>
    <x v="0"/>
    <x v="0"/>
    <s v="Technova"/>
    <x v="1"/>
    <n v="14"/>
    <n v="27000"/>
    <d v="2022-09-12T00:00:00"/>
    <n v="4"/>
    <x v="0"/>
    <n v="1"/>
    <n v="3.7037037037037037E-5"/>
    <b v="0"/>
    <b v="1"/>
    <x v="0"/>
    <n v="5.5555555555555525E-2"/>
    <n v="0.75"/>
    <n v="0.33333333333333337"/>
  </r>
  <r>
    <s v="ID000077"/>
    <x v="5"/>
    <x v="5"/>
    <s v="Dataverse"/>
    <x v="0"/>
    <n v="23"/>
    <n v="34000"/>
    <d v="2008-08-26T00:00:00"/>
    <n v="2"/>
    <x v="1"/>
    <n v="2"/>
    <n v="5.8823529411764708E-5"/>
    <b v="1"/>
    <b v="1"/>
    <x v="0"/>
    <n v="0.38235294117647056"/>
    <n v="0.25"/>
    <n v="0.32941176470588229"/>
  </r>
  <r>
    <s v="ID000148"/>
    <x v="7"/>
    <x v="7"/>
    <s v="Technova"/>
    <x v="1"/>
    <n v="16"/>
    <n v="34000"/>
    <d v="2020-12-18T00:00:00"/>
    <n v="2"/>
    <x v="1"/>
    <n v="2"/>
    <n v="5.8823529411764708E-5"/>
    <b v="1"/>
    <b v="1"/>
    <x v="0"/>
    <n v="0.38235294117647056"/>
    <n v="0.25"/>
    <n v="0.32941176470588229"/>
  </r>
  <r>
    <s v="ID000189"/>
    <x v="0"/>
    <x v="0"/>
    <s v="Technova"/>
    <x v="1"/>
    <n v="14"/>
    <n v="17000"/>
    <d v="2012-04-07T00:00:00"/>
    <n v="2"/>
    <x v="0"/>
    <n v="1"/>
    <n v="5.8823529411764708E-5"/>
    <b v="0"/>
    <b v="1"/>
    <x v="0"/>
    <n v="0.38235294117647056"/>
    <n v="0.25"/>
    <n v="0.32941176470588229"/>
  </r>
  <r>
    <s v="ID000290"/>
    <x v="6"/>
    <x v="6"/>
    <s v="Technova"/>
    <x v="1"/>
    <n v="2"/>
    <n v="34000"/>
    <d v="2020-06-24T00:00:00"/>
    <n v="2"/>
    <x v="1"/>
    <n v="2"/>
    <n v="5.8823529411764708E-5"/>
    <b v="0"/>
    <b v="0"/>
    <x v="0"/>
    <n v="0.38235294117647056"/>
    <n v="0.25"/>
    <n v="0.32941176470588229"/>
  </r>
  <r>
    <s v="ID000671"/>
    <x v="3"/>
    <x v="3"/>
    <s v="Dataverse"/>
    <x v="0"/>
    <n v="16"/>
    <n v="34000"/>
    <d v="2009-04-14T00:00:00"/>
    <n v="2"/>
    <x v="1"/>
    <n v="2"/>
    <n v="5.8823529411764708E-5"/>
    <b v="1"/>
    <b v="1"/>
    <x v="0"/>
    <n v="0.38235294117647056"/>
    <n v="0.25"/>
    <n v="0.32941176470588229"/>
  </r>
  <r>
    <s v="ID000674"/>
    <x v="1"/>
    <x v="1"/>
    <s v="Dataverse"/>
    <x v="0"/>
    <n v="8"/>
    <n v="17000"/>
    <d v="2016-01-13T00:00:00"/>
    <n v="2"/>
    <x v="0"/>
    <n v="1"/>
    <n v="5.8823529411764708E-5"/>
    <b v="0"/>
    <b v="1"/>
    <x v="0"/>
    <n v="0.38235294117647056"/>
    <n v="0.25"/>
    <n v="0.32941176470588229"/>
  </r>
  <r>
    <s v="ID000877"/>
    <x v="1"/>
    <x v="1"/>
    <s v="Dataverse"/>
    <x v="0"/>
    <n v="22"/>
    <n v="17000"/>
    <d v="2004-09-13T00:00:00"/>
    <n v="2"/>
    <x v="0"/>
    <n v="1"/>
    <n v="5.8823529411764708E-5"/>
    <b v="1"/>
    <b v="1"/>
    <x v="0"/>
    <n v="0.38235294117647056"/>
    <n v="0.25"/>
    <n v="0.32941176470588229"/>
  </r>
  <r>
    <s v="ID000060"/>
    <x v="8"/>
    <x v="8"/>
    <s v="Dataverse"/>
    <x v="0"/>
    <n v="23"/>
    <n v="82000"/>
    <d v="2011-12-07T00:00:00"/>
    <n v="4"/>
    <x v="2"/>
    <n v="3"/>
    <n v="3.6585365853658535E-5"/>
    <b v="1"/>
    <b v="1"/>
    <x v="0"/>
    <n v="4.8780487804878002E-2"/>
    <n v="0.75"/>
    <n v="0.32926829268292684"/>
  </r>
  <r>
    <s v="ID000029"/>
    <x v="5"/>
    <x v="5"/>
    <s v="Technova"/>
    <x v="1"/>
    <n v="8"/>
    <n v="42000"/>
    <d v="2010-10-22T00:00:00"/>
    <n v="3"/>
    <x v="1"/>
    <n v="2"/>
    <n v="4.761904761904762E-5"/>
    <b v="0"/>
    <b v="1"/>
    <x v="0"/>
    <n v="0.21428571428571427"/>
    <n v="0.5"/>
    <n v="0.32857142857142857"/>
  </r>
  <r>
    <s v="ID000073"/>
    <x v="5"/>
    <x v="5"/>
    <s v="Dataverse"/>
    <x v="0"/>
    <n v="19"/>
    <n v="42000"/>
    <d v="2007-05-11T00:00:00"/>
    <n v="3"/>
    <x v="1"/>
    <n v="2"/>
    <n v="4.761904761904762E-5"/>
    <b v="1"/>
    <b v="1"/>
    <x v="0"/>
    <n v="0.21428571428571427"/>
    <n v="0.5"/>
    <n v="0.32857142857142857"/>
  </r>
  <r>
    <s v="ID000211"/>
    <x v="7"/>
    <x v="7"/>
    <s v="Dataverse"/>
    <x v="0"/>
    <n v="7"/>
    <n v="42000"/>
    <d v="2023-07-12T00:00:00"/>
    <n v="3"/>
    <x v="1"/>
    <n v="2"/>
    <n v="4.761904761904762E-5"/>
    <b v="0"/>
    <b v="1"/>
    <x v="0"/>
    <n v="0.21428571428571427"/>
    <n v="0.5"/>
    <n v="0.32857142857142857"/>
  </r>
  <r>
    <s v="ID000329"/>
    <x v="9"/>
    <x v="9"/>
    <s v="Dataverse"/>
    <x v="0"/>
    <n v="5"/>
    <n v="63000"/>
    <d v="2012-07-22T00:00:00"/>
    <n v="3"/>
    <x v="2"/>
    <n v="3"/>
    <n v="4.761904761904762E-5"/>
    <b v="0"/>
    <b v="0"/>
    <x v="0"/>
    <n v="0.21428571428571427"/>
    <n v="0.5"/>
    <n v="0.32857142857142857"/>
  </r>
  <r>
    <s v="ID000359"/>
    <x v="0"/>
    <x v="0"/>
    <s v="Dataverse"/>
    <x v="0"/>
    <n v="22"/>
    <n v="21000"/>
    <d v="2011-08-13T00:00:00"/>
    <n v="3"/>
    <x v="0"/>
    <n v="1"/>
    <n v="4.761904761904762E-5"/>
    <b v="1"/>
    <b v="1"/>
    <x v="0"/>
    <n v="0.21428571428571427"/>
    <n v="0.5"/>
    <n v="0.32857142857142857"/>
  </r>
  <r>
    <s v="ID000565"/>
    <x v="0"/>
    <x v="0"/>
    <s v="Dataverse"/>
    <x v="0"/>
    <n v="9"/>
    <n v="21000"/>
    <d v="2007-07-22T00:00:00"/>
    <n v="3"/>
    <x v="0"/>
    <n v="1"/>
    <n v="4.761904761904762E-5"/>
    <b v="0"/>
    <b v="1"/>
    <x v="0"/>
    <n v="0.21428571428571427"/>
    <n v="0.5"/>
    <n v="0.32857142857142857"/>
  </r>
  <r>
    <s v="ID000711"/>
    <x v="3"/>
    <x v="3"/>
    <s v="Technova"/>
    <x v="1"/>
    <n v="3"/>
    <n v="42000"/>
    <d v="2018-09-29T00:00:00"/>
    <n v="3"/>
    <x v="1"/>
    <n v="2"/>
    <n v="4.761904761904762E-5"/>
    <b v="0"/>
    <b v="0"/>
    <x v="0"/>
    <n v="0.21428571428571427"/>
    <n v="0.5"/>
    <n v="0.32857142857142857"/>
  </r>
  <r>
    <s v="ID000832"/>
    <x v="3"/>
    <x v="3"/>
    <s v="Dataverse"/>
    <x v="0"/>
    <n v="23"/>
    <n v="42000"/>
    <d v="2012-07-20T00:00:00"/>
    <n v="3"/>
    <x v="1"/>
    <n v="2"/>
    <n v="4.761904761904762E-5"/>
    <b v="1"/>
    <b v="1"/>
    <x v="0"/>
    <n v="0.21428571428571427"/>
    <n v="0.5"/>
    <n v="0.32857142857142857"/>
  </r>
  <r>
    <s v="ID000900"/>
    <x v="4"/>
    <x v="4"/>
    <s v="Technova"/>
    <x v="1"/>
    <n v="2"/>
    <n v="42000"/>
    <d v="2022-02-15T00:00:00"/>
    <n v="3"/>
    <x v="1"/>
    <n v="2"/>
    <n v="4.761904761904762E-5"/>
    <b v="0"/>
    <b v="0"/>
    <x v="0"/>
    <n v="0.21428571428571427"/>
    <n v="0.5"/>
    <n v="0.32857142857142857"/>
  </r>
  <r>
    <s v="ID000141"/>
    <x v="7"/>
    <x v="7"/>
    <s v="Technova"/>
    <x v="1"/>
    <n v="3"/>
    <n v="43000"/>
    <d v="2014-02-02T00:00:00"/>
    <n v="3"/>
    <x v="1"/>
    <n v="2"/>
    <n v="4.6511627906976741E-5"/>
    <b v="0"/>
    <b v="0"/>
    <x v="0"/>
    <n v="0.1976744186046511"/>
    <n v="0.5"/>
    <n v="0.31860465116279069"/>
  </r>
  <r>
    <s v="ID000265"/>
    <x v="6"/>
    <x v="6"/>
    <s v="Technova"/>
    <x v="1"/>
    <n v="6"/>
    <n v="43000"/>
    <d v="2012-08-04T00:00:00"/>
    <n v="3"/>
    <x v="1"/>
    <n v="2"/>
    <n v="4.6511627906976741E-5"/>
    <b v="0"/>
    <b v="1"/>
    <x v="0"/>
    <n v="0.1976744186046511"/>
    <n v="0.5"/>
    <n v="0.31860465116279069"/>
  </r>
  <r>
    <s v="ID000294"/>
    <x v="6"/>
    <x v="6"/>
    <s v="Technova"/>
    <x v="1"/>
    <n v="7"/>
    <n v="43000"/>
    <d v="2021-11-05T00:00:00"/>
    <n v="3"/>
    <x v="1"/>
    <n v="2"/>
    <n v="4.6511627906976741E-5"/>
    <b v="0"/>
    <b v="1"/>
    <x v="0"/>
    <n v="0.1976744186046511"/>
    <n v="0.5"/>
    <n v="0.31860465116279069"/>
  </r>
  <r>
    <s v="ID000341"/>
    <x v="6"/>
    <x v="6"/>
    <s v="Dataverse"/>
    <x v="0"/>
    <n v="17"/>
    <n v="43000"/>
    <d v="2009-02-02T00:00:00"/>
    <n v="3"/>
    <x v="1"/>
    <n v="2"/>
    <n v="4.6511627906976741E-5"/>
    <b v="1"/>
    <b v="1"/>
    <x v="0"/>
    <n v="0.1976744186046511"/>
    <n v="0.5"/>
    <n v="0.31860465116279069"/>
  </r>
  <r>
    <s v="ID000352"/>
    <x v="2"/>
    <x v="2"/>
    <s v="Dataverse"/>
    <x v="0"/>
    <n v="6"/>
    <n v="43000"/>
    <d v="2018-11-23T00:00:00"/>
    <n v="3"/>
    <x v="1"/>
    <n v="2"/>
    <n v="4.6511627906976741E-5"/>
    <b v="0"/>
    <b v="1"/>
    <x v="0"/>
    <n v="0.1976744186046511"/>
    <n v="0.5"/>
    <n v="0.31860465116279069"/>
  </r>
  <r>
    <s v="ID000429"/>
    <x v="2"/>
    <x v="2"/>
    <s v="Technova"/>
    <x v="1"/>
    <n v="20"/>
    <n v="43000"/>
    <d v="2009-10-12T00:00:00"/>
    <n v="3"/>
    <x v="1"/>
    <n v="2"/>
    <n v="4.6511627906976741E-5"/>
    <b v="1"/>
    <b v="1"/>
    <x v="0"/>
    <n v="0.1976744186046511"/>
    <n v="0.5"/>
    <n v="0.31860465116279069"/>
  </r>
  <r>
    <s v="ID000467"/>
    <x v="2"/>
    <x v="2"/>
    <s v="Dataverse"/>
    <x v="0"/>
    <n v="21"/>
    <n v="43000"/>
    <d v="2019-09-07T00:00:00"/>
    <n v="3"/>
    <x v="1"/>
    <n v="2"/>
    <n v="4.6511627906976741E-5"/>
    <b v="1"/>
    <b v="1"/>
    <x v="0"/>
    <n v="0.1976744186046511"/>
    <n v="0.5"/>
    <n v="0.31860465116279069"/>
  </r>
  <r>
    <s v="ID000844"/>
    <x v="3"/>
    <x v="3"/>
    <s v="Dataverse"/>
    <x v="0"/>
    <n v="22"/>
    <n v="43000"/>
    <d v="2022-07-15T00:00:00"/>
    <n v="3"/>
    <x v="1"/>
    <n v="2"/>
    <n v="4.6511627906976741E-5"/>
    <b v="1"/>
    <b v="1"/>
    <x v="0"/>
    <n v="0.1976744186046511"/>
    <n v="0.5"/>
    <n v="0.31860465116279069"/>
  </r>
  <r>
    <s v="ID000926"/>
    <x v="4"/>
    <x v="4"/>
    <s v="Dataverse"/>
    <x v="0"/>
    <n v="17"/>
    <n v="43000"/>
    <d v="2004-11-02T00:00:00"/>
    <n v="3"/>
    <x v="1"/>
    <n v="2"/>
    <n v="4.6511627906976741E-5"/>
    <b v="1"/>
    <b v="1"/>
    <x v="0"/>
    <n v="0.1976744186046511"/>
    <n v="0.5"/>
    <n v="0.31860465116279069"/>
  </r>
  <r>
    <s v="ID000705"/>
    <x v="5"/>
    <x v="5"/>
    <s v="Technova"/>
    <x v="1"/>
    <n v="6"/>
    <n v="85000"/>
    <d v="2008-01-01T00:00:00"/>
    <n v="4"/>
    <x v="2"/>
    <n v="3"/>
    <n v="3.529411764705882E-5"/>
    <b v="0"/>
    <b v="1"/>
    <x v="0"/>
    <n v="2.941176470588228E-2"/>
    <n v="0.75"/>
    <n v="0.31764705882352939"/>
  </r>
  <r>
    <s v="ID000966"/>
    <x v="5"/>
    <x v="5"/>
    <s v="Dataverse"/>
    <x v="0"/>
    <n v="2"/>
    <n v="85000"/>
    <d v="2016-09-12T00:00:00"/>
    <n v="4"/>
    <x v="2"/>
    <n v="3"/>
    <n v="3.529411764705882E-5"/>
    <b v="0"/>
    <b v="0"/>
    <x v="0"/>
    <n v="2.941176470588228E-2"/>
    <n v="0.75"/>
    <n v="0.31764705882352939"/>
  </r>
  <r>
    <s v="ID000396"/>
    <x v="9"/>
    <x v="9"/>
    <s v="Dataverse"/>
    <x v="0"/>
    <n v="6"/>
    <n v="65000"/>
    <d v="2006-09-16T00:00:00"/>
    <n v="3"/>
    <x v="2"/>
    <n v="3"/>
    <n v="4.6153846153846151E-5"/>
    <b v="0"/>
    <b v="1"/>
    <x v="0"/>
    <n v="0.19230769230769224"/>
    <n v="0.5"/>
    <n v="0.31538461538461537"/>
  </r>
  <r>
    <s v="ID000072"/>
    <x v="5"/>
    <x v="5"/>
    <s v="Dataverse"/>
    <x v="0"/>
    <n v="23"/>
    <n v="35000"/>
    <d v="2021-01-10T00:00:00"/>
    <n v="2"/>
    <x v="1"/>
    <n v="2"/>
    <n v="5.7142857142857142E-5"/>
    <b v="1"/>
    <b v="1"/>
    <x v="0"/>
    <n v="0.3571428571428571"/>
    <n v="0.25"/>
    <n v="0.31428571428571428"/>
  </r>
  <r>
    <s v="ID000134"/>
    <x v="7"/>
    <x v="7"/>
    <s v="Technova"/>
    <x v="1"/>
    <n v="20"/>
    <n v="35000"/>
    <d v="2022-12-24T00:00:00"/>
    <n v="2"/>
    <x v="1"/>
    <n v="2"/>
    <n v="5.7142857142857142E-5"/>
    <b v="1"/>
    <b v="1"/>
    <x v="0"/>
    <n v="0.3571428571428571"/>
    <n v="0.25"/>
    <n v="0.31428571428571428"/>
  </r>
  <r>
    <s v="ID000337"/>
    <x v="6"/>
    <x v="6"/>
    <s v="Dataverse"/>
    <x v="0"/>
    <n v="8"/>
    <n v="35000"/>
    <d v="2021-12-04T00:00:00"/>
    <n v="2"/>
    <x v="1"/>
    <n v="2"/>
    <n v="5.7142857142857142E-5"/>
    <b v="0"/>
    <b v="1"/>
    <x v="0"/>
    <n v="0.3571428571428571"/>
    <n v="0.25"/>
    <n v="0.31428571428571428"/>
  </r>
  <r>
    <s v="ID000496"/>
    <x v="2"/>
    <x v="2"/>
    <s v="Technova"/>
    <x v="1"/>
    <n v="25"/>
    <n v="35000"/>
    <d v="2004-07-23T00:00:00"/>
    <n v="2"/>
    <x v="1"/>
    <n v="2"/>
    <n v="5.7142857142857142E-5"/>
    <b v="1"/>
    <b v="1"/>
    <x v="0"/>
    <n v="0.3571428571428571"/>
    <n v="0.25"/>
    <n v="0.31428571428571428"/>
  </r>
  <r>
    <s v="ID000556"/>
    <x v="3"/>
    <x v="3"/>
    <s v="Dataverse"/>
    <x v="0"/>
    <n v="5"/>
    <n v="35000"/>
    <d v="2018-06-01T00:00:00"/>
    <n v="2"/>
    <x v="1"/>
    <n v="2"/>
    <n v="5.7142857142857142E-5"/>
    <b v="0"/>
    <b v="0"/>
    <x v="0"/>
    <n v="0.3571428571428571"/>
    <n v="0.25"/>
    <n v="0.31428571428571428"/>
  </r>
  <r>
    <s v="ID000740"/>
    <x v="3"/>
    <x v="3"/>
    <s v="Technova"/>
    <x v="1"/>
    <n v="10"/>
    <n v="35000"/>
    <d v="2004-11-03T00:00:00"/>
    <n v="2"/>
    <x v="1"/>
    <n v="2"/>
    <n v="5.7142857142857142E-5"/>
    <b v="0"/>
    <b v="1"/>
    <x v="0"/>
    <n v="0.3571428571428571"/>
    <n v="0.25"/>
    <n v="0.31428571428571428"/>
  </r>
  <r>
    <s v="ID000841"/>
    <x v="3"/>
    <x v="3"/>
    <s v="Dataverse"/>
    <x v="0"/>
    <n v="4"/>
    <n v="35000"/>
    <d v="2018-10-03T00:00:00"/>
    <n v="2"/>
    <x v="1"/>
    <n v="2"/>
    <n v="5.7142857142857142E-5"/>
    <b v="0"/>
    <b v="0"/>
    <x v="0"/>
    <n v="0.3571428571428571"/>
    <n v="0.25"/>
    <n v="0.31428571428571428"/>
  </r>
  <r>
    <s v="ID000119"/>
    <x v="0"/>
    <x v="0"/>
    <s v="Dataverse"/>
    <x v="0"/>
    <n v="23"/>
    <n v="29000"/>
    <d v="2014-06-16T00:00:00"/>
    <n v="4"/>
    <x v="0"/>
    <n v="1"/>
    <n v="3.4482758620689657E-5"/>
    <b v="1"/>
    <b v="1"/>
    <x v="0"/>
    <n v="1.7241379310344824E-2"/>
    <n v="0.75"/>
    <n v="0.31034482758620696"/>
  </r>
  <r>
    <s v="ID000247"/>
    <x v="8"/>
    <x v="8"/>
    <s v="Technova"/>
    <x v="1"/>
    <n v="17"/>
    <n v="87000"/>
    <d v="2016-03-01T00:00:00"/>
    <n v="4"/>
    <x v="2"/>
    <n v="3"/>
    <n v="3.4482758620689657E-5"/>
    <b v="1"/>
    <b v="1"/>
    <x v="0"/>
    <n v="1.7241379310344824E-2"/>
    <n v="0.75"/>
    <n v="0.31034482758620696"/>
  </r>
  <r>
    <s v="ID000393"/>
    <x v="0"/>
    <x v="0"/>
    <s v="Technova"/>
    <x v="1"/>
    <n v="20"/>
    <n v="29000"/>
    <d v="2017-05-02T00:00:00"/>
    <n v="4"/>
    <x v="0"/>
    <n v="1"/>
    <n v="3.4482758620689657E-5"/>
    <b v="1"/>
    <b v="1"/>
    <x v="0"/>
    <n v="1.7241379310344824E-2"/>
    <n v="0.75"/>
    <n v="0.31034482758620696"/>
  </r>
  <r>
    <s v="ID000525"/>
    <x v="0"/>
    <x v="0"/>
    <s v="Technova"/>
    <x v="1"/>
    <n v="17"/>
    <n v="29000"/>
    <d v="2022-01-24T00:00:00"/>
    <n v="4"/>
    <x v="0"/>
    <n v="1"/>
    <n v="3.4482758620689657E-5"/>
    <b v="1"/>
    <b v="1"/>
    <x v="0"/>
    <n v="1.7241379310344824E-2"/>
    <n v="0.75"/>
    <n v="0.31034482758620696"/>
  </r>
  <r>
    <s v="ID000640"/>
    <x v="5"/>
    <x v="5"/>
    <s v="Dataverse"/>
    <x v="0"/>
    <n v="8"/>
    <n v="87000"/>
    <d v="2012-02-08T00:00:00"/>
    <n v="4"/>
    <x v="2"/>
    <n v="3"/>
    <n v="3.4482758620689657E-5"/>
    <b v="0"/>
    <b v="1"/>
    <x v="0"/>
    <n v="1.7241379310344824E-2"/>
    <n v="0.75"/>
    <n v="0.31034482758620696"/>
  </r>
  <r>
    <s v="ID000878"/>
    <x v="1"/>
    <x v="1"/>
    <s v="Dataverse"/>
    <x v="0"/>
    <n v="9"/>
    <n v="29000"/>
    <d v="2004-08-07T00:00:00"/>
    <n v="4"/>
    <x v="0"/>
    <n v="1"/>
    <n v="3.4482758620689657E-5"/>
    <b v="0"/>
    <b v="1"/>
    <x v="0"/>
    <n v="1.7241379310344824E-2"/>
    <n v="0.75"/>
    <n v="0.31034482758620696"/>
  </r>
  <r>
    <s v="ID000887"/>
    <x v="1"/>
    <x v="1"/>
    <s v="Dataverse"/>
    <x v="0"/>
    <n v="19"/>
    <n v="29000"/>
    <d v="2014-09-19T00:00:00"/>
    <n v="4"/>
    <x v="0"/>
    <n v="1"/>
    <n v="3.4482758620689657E-5"/>
    <b v="1"/>
    <b v="1"/>
    <x v="0"/>
    <n v="1.7241379310344824E-2"/>
    <n v="0.75"/>
    <n v="0.31034482758620696"/>
  </r>
  <r>
    <s v="ID000126"/>
    <x v="8"/>
    <x v="8"/>
    <s v="Technova"/>
    <x v="1"/>
    <n v="13"/>
    <n v="66000"/>
    <d v="2012-04-25T00:00:00"/>
    <n v="3"/>
    <x v="2"/>
    <n v="3"/>
    <n v="4.5454545454545452E-5"/>
    <b v="0"/>
    <b v="1"/>
    <x v="0"/>
    <n v="0.18181818181818174"/>
    <n v="0.5"/>
    <n v="0.30909090909090908"/>
  </r>
  <r>
    <s v="ID000229"/>
    <x v="7"/>
    <x v="7"/>
    <s v="Dataverse"/>
    <x v="0"/>
    <n v="17"/>
    <n v="44000"/>
    <d v="2006-10-01T00:00:00"/>
    <n v="3"/>
    <x v="1"/>
    <n v="2"/>
    <n v="4.5454545454545452E-5"/>
    <b v="1"/>
    <b v="1"/>
    <x v="0"/>
    <n v="0.18181818181818174"/>
    <n v="0.5"/>
    <n v="0.30909090909090908"/>
  </r>
  <r>
    <s v="ID000286"/>
    <x v="6"/>
    <x v="6"/>
    <s v="Technova"/>
    <x v="1"/>
    <n v="20"/>
    <n v="44000"/>
    <d v="2012-02-27T00:00:00"/>
    <n v="3"/>
    <x v="1"/>
    <n v="2"/>
    <n v="4.5454545454545452E-5"/>
    <b v="1"/>
    <b v="1"/>
    <x v="0"/>
    <n v="0.18181818181818174"/>
    <n v="0.5"/>
    <n v="0.30909090909090908"/>
  </r>
  <r>
    <s v="ID000296"/>
    <x v="6"/>
    <x v="6"/>
    <s v="Technova"/>
    <x v="1"/>
    <n v="21"/>
    <n v="44000"/>
    <d v="2015-07-19T00:00:00"/>
    <n v="3"/>
    <x v="1"/>
    <n v="2"/>
    <n v="4.5454545454545452E-5"/>
    <b v="1"/>
    <b v="1"/>
    <x v="0"/>
    <n v="0.18181818181818174"/>
    <n v="0.5"/>
    <n v="0.30909090909090908"/>
  </r>
  <r>
    <s v="ID000343"/>
    <x v="6"/>
    <x v="6"/>
    <s v="Dataverse"/>
    <x v="0"/>
    <n v="5"/>
    <n v="44000"/>
    <d v="2018-12-28T00:00:00"/>
    <n v="3"/>
    <x v="1"/>
    <n v="2"/>
    <n v="4.5454545454545452E-5"/>
    <b v="0"/>
    <b v="0"/>
    <x v="0"/>
    <n v="0.18181818181818174"/>
    <n v="0.5"/>
    <n v="0.30909090909090908"/>
  </r>
  <r>
    <s v="ID000360"/>
    <x v="0"/>
    <x v="0"/>
    <s v="Dataverse"/>
    <x v="0"/>
    <n v="2"/>
    <n v="22000"/>
    <d v="2020-12-25T00:00:00"/>
    <n v="3"/>
    <x v="0"/>
    <n v="1"/>
    <n v="4.5454545454545452E-5"/>
    <b v="0"/>
    <b v="0"/>
    <x v="0"/>
    <n v="0.18181818181818174"/>
    <n v="0.5"/>
    <n v="0.30909090909090908"/>
  </r>
  <r>
    <s v="ID000415"/>
    <x v="9"/>
    <x v="9"/>
    <s v="Technova"/>
    <x v="1"/>
    <n v="18"/>
    <n v="66000"/>
    <d v="2018-08-30T00:00:00"/>
    <n v="3"/>
    <x v="2"/>
    <n v="3"/>
    <n v="4.5454545454545452E-5"/>
    <b v="1"/>
    <b v="1"/>
    <x v="0"/>
    <n v="0.18181818181818174"/>
    <n v="0.5"/>
    <n v="0.30909090909090908"/>
  </r>
  <r>
    <s v="ID000495"/>
    <x v="2"/>
    <x v="2"/>
    <s v="Technova"/>
    <x v="1"/>
    <n v="17"/>
    <n v="44000"/>
    <d v="2018-06-27T00:00:00"/>
    <n v="3"/>
    <x v="1"/>
    <n v="2"/>
    <n v="4.5454545454545452E-5"/>
    <b v="1"/>
    <b v="1"/>
    <x v="0"/>
    <n v="0.18181818181818174"/>
    <n v="0.5"/>
    <n v="0.30909090909090908"/>
  </r>
  <r>
    <s v="ID000717"/>
    <x v="3"/>
    <x v="3"/>
    <s v="Technova"/>
    <x v="1"/>
    <n v="10"/>
    <n v="44000"/>
    <d v="2010-10-19T00:00:00"/>
    <n v="3"/>
    <x v="1"/>
    <n v="2"/>
    <n v="4.5454545454545452E-5"/>
    <b v="0"/>
    <b v="1"/>
    <x v="0"/>
    <n v="0.18181818181818174"/>
    <n v="0.5"/>
    <n v="0.30909090909090908"/>
  </r>
  <r>
    <s v="ID000870"/>
    <x v="4"/>
    <x v="4"/>
    <s v="Dataverse"/>
    <x v="0"/>
    <n v="25"/>
    <n v="44000"/>
    <d v="2016-03-07T00:00:00"/>
    <n v="3"/>
    <x v="1"/>
    <n v="2"/>
    <n v="4.5454545454545452E-5"/>
    <b v="1"/>
    <b v="1"/>
    <x v="0"/>
    <n v="0.18181818181818174"/>
    <n v="0.5"/>
    <n v="0.30909090909090908"/>
  </r>
  <r>
    <s v="ID000704"/>
    <x v="5"/>
    <x v="5"/>
    <s v="Technova"/>
    <x v="1"/>
    <n v="9"/>
    <n v="88000"/>
    <d v="2006-12-21T00:00:00"/>
    <n v="4"/>
    <x v="2"/>
    <n v="3"/>
    <n v="3.4090909090909092E-5"/>
    <b v="0"/>
    <b v="1"/>
    <x v="0"/>
    <n v="1.1363636363636359E-2"/>
    <n v="0.75"/>
    <n v="0.30681818181818188"/>
  </r>
  <r>
    <s v="ID000486"/>
    <x v="5"/>
    <x v="5"/>
    <s v="Technova"/>
    <x v="1"/>
    <n v="7"/>
    <n v="89000"/>
    <d v="2014-10-21T00:00:00"/>
    <n v="4"/>
    <x v="2"/>
    <n v="3"/>
    <n v="3.3707865168539323E-5"/>
    <b v="0"/>
    <b v="1"/>
    <x v="0"/>
    <n v="5.6179775280898224E-3"/>
    <n v="0.75"/>
    <n v="0.30337078651685395"/>
  </r>
  <r>
    <s v="ID000579"/>
    <x v="5"/>
    <x v="5"/>
    <s v="Technova"/>
    <x v="1"/>
    <n v="19"/>
    <n v="67000"/>
    <d v="2007-06-06T00:00:00"/>
    <n v="3"/>
    <x v="2"/>
    <n v="3"/>
    <n v="4.4776119402985078E-5"/>
    <b v="1"/>
    <b v="1"/>
    <x v="0"/>
    <n v="0.17164179104477614"/>
    <n v="0.5"/>
    <n v="0.30298507462686569"/>
  </r>
  <r>
    <s v="ID000243"/>
    <x v="0"/>
    <x v="0"/>
    <s v="Dataverse"/>
    <x v="0"/>
    <n v="8"/>
    <n v="30000"/>
    <d v="2018-06-06T00:00:00"/>
    <n v="4"/>
    <x v="0"/>
    <n v="1"/>
    <n v="3.3333333333333335E-5"/>
    <b v="0"/>
    <b v="1"/>
    <x v="0"/>
    <n v="0"/>
    <n v="0.75"/>
    <n v="0.30000000000000004"/>
  </r>
  <r>
    <s v="ID000455"/>
    <x v="9"/>
    <x v="9"/>
    <s v="Dataverse"/>
    <x v="0"/>
    <n v="7"/>
    <n v="90000"/>
    <d v="2019-11-26T00:00:00"/>
    <n v="4"/>
    <x v="2"/>
    <n v="3"/>
    <n v="3.3333333333333335E-5"/>
    <b v="0"/>
    <b v="1"/>
    <x v="0"/>
    <n v="0"/>
    <n v="0.75"/>
    <n v="0.30000000000000004"/>
  </r>
  <r>
    <s v="ID000919"/>
    <x v="5"/>
    <x v="5"/>
    <s v="Dataverse"/>
    <x v="0"/>
    <n v="3"/>
    <n v="90000"/>
    <d v="2016-11-23T00:00:00"/>
    <n v="4"/>
    <x v="2"/>
    <n v="3"/>
    <n v="3.3333333333333335E-5"/>
    <b v="0"/>
    <b v="0"/>
    <x v="0"/>
    <n v="0"/>
    <n v="0.75"/>
    <n v="0.30000000000000004"/>
  </r>
  <r>
    <s v="ID000157"/>
    <x v="7"/>
    <x v="7"/>
    <s v="Technova"/>
    <x v="1"/>
    <n v="12"/>
    <n v="45000"/>
    <d v="2021-11-09T00:00:00"/>
    <n v="3"/>
    <x v="1"/>
    <n v="2"/>
    <n v="4.4444444444444447E-5"/>
    <b v="0"/>
    <b v="1"/>
    <x v="0"/>
    <n v="0.16666666666666666"/>
    <n v="0.5"/>
    <n v="0.3"/>
  </r>
  <r>
    <s v="ID000219"/>
    <x v="7"/>
    <x v="7"/>
    <s v="Dataverse"/>
    <x v="0"/>
    <n v="14"/>
    <n v="36000"/>
    <d v="2015-05-05T00:00:00"/>
    <n v="2"/>
    <x v="1"/>
    <n v="2"/>
    <n v="5.5555555555555558E-5"/>
    <b v="0"/>
    <b v="1"/>
    <x v="0"/>
    <n v="0.33333333333333331"/>
    <n v="0.25"/>
    <n v="0.3"/>
  </r>
  <r>
    <s v="ID000262"/>
    <x v="6"/>
    <x v="6"/>
    <s v="Technova"/>
    <x v="1"/>
    <n v="10"/>
    <n v="45000"/>
    <d v="2009-11-10T00:00:00"/>
    <n v="3"/>
    <x v="1"/>
    <n v="2"/>
    <n v="4.4444444444444447E-5"/>
    <b v="0"/>
    <b v="1"/>
    <x v="0"/>
    <n v="0.16666666666666666"/>
    <n v="0.5"/>
    <n v="0.3"/>
  </r>
  <r>
    <s v="ID000283"/>
    <x v="6"/>
    <x v="6"/>
    <s v="Technova"/>
    <x v="1"/>
    <n v="14"/>
    <n v="36000"/>
    <d v="2016-06-29T00:00:00"/>
    <n v="2"/>
    <x v="1"/>
    <n v="2"/>
    <n v="5.5555555555555558E-5"/>
    <b v="0"/>
    <b v="1"/>
    <x v="0"/>
    <n v="0.33333333333333331"/>
    <n v="0.25"/>
    <n v="0.3"/>
  </r>
  <r>
    <s v="ID000298"/>
    <x v="6"/>
    <x v="6"/>
    <s v="Technova"/>
    <x v="1"/>
    <n v="19"/>
    <n v="36000"/>
    <d v="2016-11-22T00:00:00"/>
    <n v="2"/>
    <x v="1"/>
    <n v="2"/>
    <n v="5.5555555555555558E-5"/>
    <b v="1"/>
    <b v="1"/>
    <x v="0"/>
    <n v="0.33333333333333331"/>
    <n v="0.25"/>
    <n v="0.3"/>
  </r>
  <r>
    <s v="ID000339"/>
    <x v="6"/>
    <x v="6"/>
    <s v="Dataverse"/>
    <x v="0"/>
    <n v="21"/>
    <n v="36000"/>
    <d v="2014-02-08T00:00:00"/>
    <n v="2"/>
    <x v="1"/>
    <n v="2"/>
    <n v="5.5555555555555558E-5"/>
    <b v="1"/>
    <b v="1"/>
    <x v="0"/>
    <n v="0.33333333333333331"/>
    <n v="0.25"/>
    <n v="0.3"/>
  </r>
  <r>
    <s v="ID000403"/>
    <x v="2"/>
    <x v="2"/>
    <s v="Dataverse"/>
    <x v="0"/>
    <n v="7"/>
    <n v="45000"/>
    <d v="2021-01-16T00:00:00"/>
    <n v="3"/>
    <x v="1"/>
    <n v="2"/>
    <n v="4.4444444444444447E-5"/>
    <b v="0"/>
    <b v="1"/>
    <x v="0"/>
    <n v="0.16666666666666666"/>
    <n v="0.5"/>
    <n v="0.3"/>
  </r>
  <r>
    <s v="ID000458"/>
    <x v="2"/>
    <x v="2"/>
    <s v="Dataverse"/>
    <x v="0"/>
    <n v="21"/>
    <n v="36000"/>
    <d v="2009-07-26T00:00:00"/>
    <n v="2"/>
    <x v="1"/>
    <n v="2"/>
    <n v="5.5555555555555558E-5"/>
    <b v="1"/>
    <b v="1"/>
    <x v="0"/>
    <n v="0.33333333333333331"/>
    <n v="0.25"/>
    <n v="0.3"/>
  </r>
  <r>
    <s v="ID000473"/>
    <x v="2"/>
    <x v="2"/>
    <s v="Dataverse"/>
    <x v="0"/>
    <n v="5"/>
    <n v="45000"/>
    <d v="2007-12-07T00:00:00"/>
    <n v="3"/>
    <x v="1"/>
    <n v="2"/>
    <n v="4.4444444444444447E-5"/>
    <b v="0"/>
    <b v="0"/>
    <x v="0"/>
    <n v="0.16666666666666666"/>
    <n v="0.5"/>
    <n v="0.3"/>
  </r>
  <r>
    <s v="ID000894"/>
    <x v="1"/>
    <x v="1"/>
    <s v="Dataverse"/>
    <x v="0"/>
    <n v="14"/>
    <n v="18000"/>
    <d v="2017-04-23T00:00:00"/>
    <n v="2"/>
    <x v="0"/>
    <n v="1"/>
    <n v="5.5555555555555558E-5"/>
    <b v="0"/>
    <b v="1"/>
    <x v="0"/>
    <n v="0.33333333333333331"/>
    <n v="0.25"/>
    <n v="0.3"/>
  </r>
  <r>
    <s v="ID000903"/>
    <x v="4"/>
    <x v="4"/>
    <s v="Technova"/>
    <x v="1"/>
    <n v="13"/>
    <n v="36000"/>
    <d v="2023-09-26T00:00:00"/>
    <n v="2"/>
    <x v="1"/>
    <n v="2"/>
    <n v="5.5555555555555558E-5"/>
    <b v="0"/>
    <b v="1"/>
    <x v="0"/>
    <n v="0.33333333333333331"/>
    <n v="0.25"/>
    <n v="0.3"/>
  </r>
  <r>
    <s v="ID000906"/>
    <x v="4"/>
    <x v="4"/>
    <s v="Technova"/>
    <x v="1"/>
    <n v="25"/>
    <n v="36000"/>
    <d v="2010-10-14T00:00:00"/>
    <n v="2"/>
    <x v="1"/>
    <n v="2"/>
    <n v="5.5555555555555558E-5"/>
    <b v="1"/>
    <b v="1"/>
    <x v="0"/>
    <n v="0.33333333333333331"/>
    <n v="0.25"/>
    <n v="0.3"/>
  </r>
  <r>
    <s v="ID000949"/>
    <x v="4"/>
    <x v="4"/>
    <s v="Technova"/>
    <x v="1"/>
    <n v="17"/>
    <n v="45000"/>
    <d v="2014-10-22T00:00:00"/>
    <n v="3"/>
    <x v="1"/>
    <n v="2"/>
    <n v="4.4444444444444447E-5"/>
    <b v="1"/>
    <b v="1"/>
    <x v="0"/>
    <n v="0.16666666666666666"/>
    <n v="0.5"/>
    <n v="0.3"/>
  </r>
  <r>
    <s v="ID000052"/>
    <x v="8"/>
    <x v="8"/>
    <s v="Dataverse"/>
    <x v="0"/>
    <n v="2"/>
    <n v="68000"/>
    <d v="2022-06-09T00:00:00"/>
    <n v="3"/>
    <x v="2"/>
    <n v="3"/>
    <n v="4.4117647058823532E-5"/>
    <b v="0"/>
    <b v="0"/>
    <x v="0"/>
    <n v="0.16176470588235295"/>
    <n v="0.5"/>
    <n v="0.29705882352941176"/>
  </r>
  <r>
    <s v="ID000013"/>
    <x v="5"/>
    <x v="5"/>
    <s v="Technova"/>
    <x v="1"/>
    <n v="9"/>
    <n v="46000"/>
    <d v="2010-01-22T00:00:00"/>
    <n v="3"/>
    <x v="1"/>
    <n v="2"/>
    <n v="4.347826086956522E-5"/>
    <b v="0"/>
    <b v="1"/>
    <x v="0"/>
    <n v="0.15217391304347827"/>
    <n v="0.5"/>
    <n v="0.29130434782608694"/>
  </r>
  <r>
    <s v="ID000031"/>
    <x v="5"/>
    <x v="5"/>
    <s v="Technova"/>
    <x v="1"/>
    <n v="3"/>
    <n v="46000"/>
    <d v="2022-12-22T00:00:00"/>
    <n v="3"/>
    <x v="1"/>
    <n v="2"/>
    <n v="4.347826086956522E-5"/>
    <b v="0"/>
    <b v="0"/>
    <x v="0"/>
    <n v="0.15217391304347827"/>
    <n v="0.5"/>
    <n v="0.29130434782608694"/>
  </r>
  <r>
    <s v="ID000150"/>
    <x v="7"/>
    <x v="7"/>
    <s v="Technova"/>
    <x v="1"/>
    <n v="25"/>
    <n v="46000"/>
    <d v="2011-05-05T00:00:00"/>
    <n v="3"/>
    <x v="1"/>
    <n v="2"/>
    <n v="4.347826086956522E-5"/>
    <b v="1"/>
    <b v="1"/>
    <x v="0"/>
    <n v="0.15217391304347827"/>
    <n v="0.5"/>
    <n v="0.29130434782608694"/>
  </r>
  <r>
    <s v="ID000169"/>
    <x v="7"/>
    <x v="7"/>
    <s v="Technova"/>
    <x v="1"/>
    <n v="17"/>
    <n v="46000"/>
    <d v="2005-04-26T00:00:00"/>
    <n v="3"/>
    <x v="1"/>
    <n v="2"/>
    <n v="4.347826086956522E-5"/>
    <b v="1"/>
    <b v="1"/>
    <x v="0"/>
    <n v="0.15217391304347827"/>
    <n v="0.5"/>
    <n v="0.29130434782608694"/>
  </r>
  <r>
    <s v="ID000242"/>
    <x v="0"/>
    <x v="0"/>
    <s v="Dataverse"/>
    <x v="0"/>
    <n v="17"/>
    <n v="23000"/>
    <d v="2012-10-25T00:00:00"/>
    <n v="3"/>
    <x v="0"/>
    <n v="1"/>
    <n v="4.347826086956522E-5"/>
    <b v="1"/>
    <b v="1"/>
    <x v="0"/>
    <n v="0.15217391304347827"/>
    <n v="0.5"/>
    <n v="0.29130434782608694"/>
  </r>
  <r>
    <s v="ID000410"/>
    <x v="0"/>
    <x v="0"/>
    <s v="Dataverse"/>
    <x v="0"/>
    <n v="22"/>
    <n v="23000"/>
    <d v="2017-03-26T00:00:00"/>
    <n v="3"/>
    <x v="0"/>
    <n v="1"/>
    <n v="4.347826086956522E-5"/>
    <b v="1"/>
    <b v="1"/>
    <x v="0"/>
    <n v="0.15217391304347827"/>
    <n v="0.5"/>
    <n v="0.29130434782608694"/>
  </r>
  <r>
    <s v="ID000475"/>
    <x v="0"/>
    <x v="0"/>
    <s v="Dataverse"/>
    <x v="0"/>
    <n v="8"/>
    <n v="23000"/>
    <d v="2006-06-01T00:00:00"/>
    <n v="3"/>
    <x v="0"/>
    <n v="1"/>
    <n v="4.347826086956522E-5"/>
    <b v="0"/>
    <b v="1"/>
    <x v="0"/>
    <n v="0.15217391304347827"/>
    <n v="0.5"/>
    <n v="0.29130434782608694"/>
  </r>
  <r>
    <s v="ID000544"/>
    <x v="3"/>
    <x v="3"/>
    <s v="Dataverse"/>
    <x v="0"/>
    <n v="1"/>
    <n v="46000"/>
    <d v="2005-06-20T00:00:00"/>
    <n v="3"/>
    <x v="1"/>
    <n v="2"/>
    <n v="4.347826086956522E-5"/>
    <b v="0"/>
    <b v="0"/>
    <x v="0"/>
    <n v="0.15217391304347827"/>
    <n v="0.5"/>
    <n v="0.29130434782608694"/>
  </r>
  <r>
    <s v="ID000612"/>
    <x v="1"/>
    <x v="1"/>
    <s v="Technova"/>
    <x v="1"/>
    <n v="11"/>
    <n v="23000"/>
    <d v="2021-12-14T00:00:00"/>
    <n v="3"/>
    <x v="0"/>
    <n v="1"/>
    <n v="4.347826086956522E-5"/>
    <b v="0"/>
    <b v="1"/>
    <x v="0"/>
    <n v="0.15217391304347827"/>
    <n v="0.5"/>
    <n v="0.29130434782608694"/>
  </r>
  <r>
    <s v="ID000627"/>
    <x v="1"/>
    <x v="1"/>
    <s v="Technova"/>
    <x v="1"/>
    <n v="4"/>
    <n v="23000"/>
    <d v="2004-12-22T00:00:00"/>
    <n v="3"/>
    <x v="0"/>
    <n v="1"/>
    <n v="4.347826086956522E-5"/>
    <b v="0"/>
    <b v="0"/>
    <x v="0"/>
    <n v="0.15217391304347827"/>
    <n v="0.5"/>
    <n v="0.29130434782608694"/>
  </r>
  <r>
    <s v="ID000804"/>
    <x v="5"/>
    <x v="5"/>
    <s v="Dataverse"/>
    <x v="0"/>
    <n v="1"/>
    <n v="69000"/>
    <d v="2014-04-08T00:00:00"/>
    <n v="3"/>
    <x v="2"/>
    <n v="3"/>
    <n v="4.347826086956522E-5"/>
    <b v="0"/>
    <b v="0"/>
    <x v="0"/>
    <n v="0.15217391304347827"/>
    <n v="0.5"/>
    <n v="0.29130434782608694"/>
  </r>
  <r>
    <s v="ID000855"/>
    <x v="3"/>
    <x v="3"/>
    <s v="Dataverse"/>
    <x v="0"/>
    <n v="19"/>
    <n v="46000"/>
    <d v="2021-05-04T00:00:00"/>
    <n v="3"/>
    <x v="1"/>
    <n v="2"/>
    <n v="4.347826086956522E-5"/>
    <b v="1"/>
    <b v="1"/>
    <x v="0"/>
    <n v="0.15217391304347827"/>
    <n v="0.5"/>
    <n v="0.29130434782608694"/>
  </r>
  <r>
    <s v="ID000874"/>
    <x v="1"/>
    <x v="1"/>
    <s v="Dataverse"/>
    <x v="0"/>
    <n v="17"/>
    <n v="23000"/>
    <d v="2022-07-23T00:00:00"/>
    <n v="3"/>
    <x v="0"/>
    <n v="1"/>
    <n v="4.347826086956522E-5"/>
    <b v="1"/>
    <b v="1"/>
    <x v="0"/>
    <n v="0.15217391304347827"/>
    <n v="0.5"/>
    <n v="0.29130434782608694"/>
  </r>
  <r>
    <s v="ID000909"/>
    <x v="4"/>
    <x v="4"/>
    <s v="Technova"/>
    <x v="1"/>
    <n v="15"/>
    <n v="46000"/>
    <d v="2011-01-06T00:00:00"/>
    <n v="3"/>
    <x v="1"/>
    <n v="2"/>
    <n v="4.347826086956522E-5"/>
    <b v="0"/>
    <b v="1"/>
    <x v="0"/>
    <n v="0.15217391304347827"/>
    <n v="0.5"/>
    <n v="0.29130434782608694"/>
  </r>
  <r>
    <s v="ID000299"/>
    <x v="6"/>
    <x v="6"/>
    <s v="Technova"/>
    <x v="1"/>
    <n v="1"/>
    <n v="37000"/>
    <d v="2009-05-09T00:00:00"/>
    <n v="2"/>
    <x v="1"/>
    <n v="2"/>
    <n v="5.4054054054054054E-5"/>
    <b v="0"/>
    <b v="0"/>
    <x v="0"/>
    <n v="0.31081081081081074"/>
    <n v="0.25"/>
    <n v="0.28648648648648645"/>
  </r>
  <r>
    <s v="ID000904"/>
    <x v="4"/>
    <x v="4"/>
    <s v="Technova"/>
    <x v="1"/>
    <n v="2"/>
    <n v="37000"/>
    <d v="2023-04-04T00:00:00"/>
    <n v="2"/>
    <x v="1"/>
    <n v="2"/>
    <n v="5.4054054054054054E-5"/>
    <b v="0"/>
    <b v="0"/>
    <x v="0"/>
    <n v="0.31081081081081074"/>
    <n v="0.25"/>
    <n v="0.28648648648648645"/>
  </r>
  <r>
    <s v="ID000051"/>
    <x v="8"/>
    <x v="8"/>
    <s v="Dataverse"/>
    <x v="0"/>
    <n v="24"/>
    <n v="70000"/>
    <d v="2013-02-06T00:00:00"/>
    <n v="3"/>
    <x v="2"/>
    <n v="3"/>
    <n v="4.2857142857142856E-5"/>
    <b v="1"/>
    <b v="1"/>
    <x v="0"/>
    <n v="0.14285714285714282"/>
    <n v="0.5"/>
    <n v="0.2857142857142857"/>
  </r>
  <r>
    <s v="ID000030"/>
    <x v="5"/>
    <x v="5"/>
    <s v="Technova"/>
    <x v="1"/>
    <n v="21"/>
    <n v="47000"/>
    <d v="2013-01-10T00:00:00"/>
    <n v="3"/>
    <x v="1"/>
    <n v="2"/>
    <n v="4.2553191489361704E-5"/>
    <b v="1"/>
    <b v="1"/>
    <x v="0"/>
    <n v="0.13829787234042554"/>
    <n v="0.5"/>
    <n v="0.28297872340425534"/>
  </r>
  <r>
    <s v="ID000096"/>
    <x v="7"/>
    <x v="7"/>
    <s v="Dataverse"/>
    <x v="0"/>
    <n v="13"/>
    <n v="47000"/>
    <d v="2005-12-10T00:00:00"/>
    <n v="3"/>
    <x v="1"/>
    <n v="2"/>
    <n v="4.2553191489361704E-5"/>
    <b v="0"/>
    <b v="1"/>
    <x v="0"/>
    <n v="0.13829787234042554"/>
    <n v="0.5"/>
    <n v="0.28297872340425534"/>
  </r>
  <r>
    <s v="ID000338"/>
    <x v="6"/>
    <x v="6"/>
    <s v="Dataverse"/>
    <x v="0"/>
    <n v="25"/>
    <n v="47000"/>
    <d v="2005-07-27T00:00:00"/>
    <n v="3"/>
    <x v="1"/>
    <n v="2"/>
    <n v="4.2553191489361704E-5"/>
    <b v="1"/>
    <b v="1"/>
    <x v="0"/>
    <n v="0.13829787234042554"/>
    <n v="0.5"/>
    <n v="0.28297872340425534"/>
  </r>
  <r>
    <s v="ID000349"/>
    <x v="2"/>
    <x v="2"/>
    <s v="Dataverse"/>
    <x v="0"/>
    <n v="21"/>
    <n v="47000"/>
    <d v="2004-12-30T00:00:00"/>
    <n v="3"/>
    <x v="1"/>
    <n v="2"/>
    <n v="4.2553191489361704E-5"/>
    <b v="1"/>
    <b v="1"/>
    <x v="0"/>
    <n v="0.13829787234042554"/>
    <n v="0.5"/>
    <n v="0.28297872340425534"/>
  </r>
  <r>
    <s v="ID000470"/>
    <x v="2"/>
    <x v="2"/>
    <s v="Dataverse"/>
    <x v="0"/>
    <n v="8"/>
    <n v="47000"/>
    <d v="2005-05-08T00:00:00"/>
    <n v="3"/>
    <x v="1"/>
    <n v="2"/>
    <n v="4.2553191489361704E-5"/>
    <b v="0"/>
    <b v="1"/>
    <x v="0"/>
    <n v="0.13829787234042554"/>
    <n v="0.5"/>
    <n v="0.28297872340425534"/>
  </r>
  <r>
    <s v="ID000584"/>
    <x v="3"/>
    <x v="3"/>
    <s v="Technova"/>
    <x v="1"/>
    <n v="10"/>
    <n v="47000"/>
    <d v="2018-01-23T00:00:00"/>
    <n v="3"/>
    <x v="1"/>
    <n v="2"/>
    <n v="4.2553191489361704E-5"/>
    <b v="0"/>
    <b v="1"/>
    <x v="0"/>
    <n v="0.13829787234042554"/>
    <n v="0.5"/>
    <n v="0.28297872340425534"/>
  </r>
  <r>
    <s v="ID000951"/>
    <x v="4"/>
    <x v="4"/>
    <s v="Technova"/>
    <x v="1"/>
    <n v="18"/>
    <n v="47000"/>
    <d v="2011-09-28T00:00:00"/>
    <n v="3"/>
    <x v="1"/>
    <n v="2"/>
    <n v="4.2553191489361704E-5"/>
    <b v="1"/>
    <b v="1"/>
    <x v="0"/>
    <n v="0.13829787234042554"/>
    <n v="0.5"/>
    <n v="0.28297872340425534"/>
  </r>
  <r>
    <s v="ID000025"/>
    <x v="5"/>
    <x v="5"/>
    <s v="Technova"/>
    <x v="1"/>
    <n v="13"/>
    <n v="31000"/>
    <d v="2008-01-26T00:00:00"/>
    <n v="1"/>
    <x v="1"/>
    <n v="2"/>
    <n v="6.4516129032258067E-5"/>
    <b v="0"/>
    <b v="1"/>
    <x v="0"/>
    <n v="0.46774193548387094"/>
    <n v="0"/>
    <n v="0.28064516129032258"/>
  </r>
  <r>
    <s v="ID000147"/>
    <x v="7"/>
    <x v="7"/>
    <s v="Technova"/>
    <x v="1"/>
    <n v="17"/>
    <n v="31000"/>
    <d v="2023-07-25T00:00:00"/>
    <n v="1"/>
    <x v="1"/>
    <n v="2"/>
    <n v="6.4516129032258067E-5"/>
    <b v="1"/>
    <b v="1"/>
    <x v="0"/>
    <n v="0.46774193548387094"/>
    <n v="0"/>
    <n v="0.28064516129032258"/>
  </r>
  <r>
    <s v="ID000154"/>
    <x v="7"/>
    <x v="7"/>
    <s v="Technova"/>
    <x v="1"/>
    <n v="21"/>
    <n v="31000"/>
    <d v="2010-02-03T00:00:00"/>
    <n v="1"/>
    <x v="1"/>
    <n v="2"/>
    <n v="6.4516129032258067E-5"/>
    <b v="1"/>
    <b v="1"/>
    <x v="0"/>
    <n v="0.46774193548387094"/>
    <n v="0"/>
    <n v="0.28064516129032258"/>
  </r>
  <r>
    <s v="ID000755"/>
    <x v="3"/>
    <x v="3"/>
    <s v="Technova"/>
    <x v="1"/>
    <n v="16"/>
    <n v="31000"/>
    <d v="2009-12-09T00:00:00"/>
    <n v="1"/>
    <x v="1"/>
    <n v="2"/>
    <n v="6.4516129032258067E-5"/>
    <b v="1"/>
    <b v="1"/>
    <x v="0"/>
    <n v="0.46774193548387094"/>
    <n v="0"/>
    <n v="0.28064516129032258"/>
  </r>
  <r>
    <s v="ID000981"/>
    <x v="4"/>
    <x v="4"/>
    <s v="Dataverse"/>
    <x v="0"/>
    <n v="4"/>
    <n v="31000"/>
    <d v="2022-01-16T00:00:00"/>
    <n v="1"/>
    <x v="1"/>
    <n v="2"/>
    <n v="6.4516129032258067E-5"/>
    <b v="0"/>
    <b v="0"/>
    <x v="0"/>
    <n v="0.46774193548387094"/>
    <n v="0"/>
    <n v="0.28064516129032258"/>
  </r>
  <r>
    <s v="ID000810"/>
    <x v="5"/>
    <x v="5"/>
    <s v="Dataverse"/>
    <x v="0"/>
    <n v="23"/>
    <n v="71000"/>
    <d v="2017-11-19T00:00:00"/>
    <n v="3"/>
    <x v="2"/>
    <n v="3"/>
    <n v="4.2253521126760563E-5"/>
    <b v="1"/>
    <b v="1"/>
    <x v="0"/>
    <n v="0.13380281690140841"/>
    <n v="0.5"/>
    <n v="0.28028169014084503"/>
  </r>
  <r>
    <s v="ID000221"/>
    <x v="7"/>
    <x v="7"/>
    <s v="Dataverse"/>
    <x v="0"/>
    <n v="24"/>
    <n v="48000"/>
    <d v="2009-04-13T00:00:00"/>
    <n v="3"/>
    <x v="1"/>
    <n v="2"/>
    <n v="4.1666666666666665E-5"/>
    <b v="1"/>
    <b v="1"/>
    <x v="0"/>
    <n v="0.12499999999999994"/>
    <n v="0.5"/>
    <n v="0.27499999999999997"/>
  </r>
  <r>
    <s v="ID000284"/>
    <x v="6"/>
    <x v="6"/>
    <s v="Technova"/>
    <x v="1"/>
    <n v="3"/>
    <n v="48000"/>
    <d v="2008-01-13T00:00:00"/>
    <n v="3"/>
    <x v="1"/>
    <n v="2"/>
    <n v="4.1666666666666665E-5"/>
    <b v="0"/>
    <b v="0"/>
    <x v="0"/>
    <n v="0.12499999999999994"/>
    <n v="0.5"/>
    <n v="0.27499999999999997"/>
  </r>
  <r>
    <s v="ID000528"/>
    <x v="0"/>
    <x v="0"/>
    <s v="Technova"/>
    <x v="1"/>
    <n v="25"/>
    <n v="24000"/>
    <d v="2005-06-25T00:00:00"/>
    <n v="3"/>
    <x v="0"/>
    <n v="1"/>
    <n v="4.1666666666666665E-5"/>
    <b v="1"/>
    <b v="1"/>
    <x v="0"/>
    <n v="0.12499999999999994"/>
    <n v="0.5"/>
    <n v="0.27499999999999997"/>
  </r>
  <r>
    <s v="ID000668"/>
    <x v="3"/>
    <x v="3"/>
    <s v="Dataverse"/>
    <x v="0"/>
    <n v="9"/>
    <n v="48000"/>
    <d v="2007-03-26T00:00:00"/>
    <n v="3"/>
    <x v="1"/>
    <n v="2"/>
    <n v="4.1666666666666665E-5"/>
    <b v="0"/>
    <b v="1"/>
    <x v="0"/>
    <n v="0.12499999999999994"/>
    <n v="0.5"/>
    <n v="0.27499999999999997"/>
  </r>
  <r>
    <s v="ID000676"/>
    <x v="1"/>
    <x v="1"/>
    <s v="Dataverse"/>
    <x v="0"/>
    <n v="10"/>
    <n v="24000"/>
    <d v="2018-02-17T00:00:00"/>
    <n v="3"/>
    <x v="0"/>
    <n v="1"/>
    <n v="4.1666666666666665E-5"/>
    <b v="0"/>
    <b v="1"/>
    <x v="0"/>
    <n v="0.12499999999999994"/>
    <n v="0.5"/>
    <n v="0.27499999999999997"/>
  </r>
  <r>
    <s v="ID000695"/>
    <x v="5"/>
    <x v="5"/>
    <s v="Technova"/>
    <x v="1"/>
    <n v="14"/>
    <n v="72000"/>
    <d v="2013-03-03T00:00:00"/>
    <n v="3"/>
    <x v="2"/>
    <n v="3"/>
    <n v="4.1666666666666665E-5"/>
    <b v="0"/>
    <b v="1"/>
    <x v="0"/>
    <n v="0.12499999999999994"/>
    <n v="0.5"/>
    <n v="0.27499999999999997"/>
  </r>
  <r>
    <s v="ID000738"/>
    <x v="3"/>
    <x v="3"/>
    <s v="Technova"/>
    <x v="1"/>
    <n v="25"/>
    <n v="48000"/>
    <d v="2010-11-20T00:00:00"/>
    <n v="3"/>
    <x v="1"/>
    <n v="2"/>
    <n v="4.1666666666666665E-5"/>
    <b v="1"/>
    <b v="1"/>
    <x v="0"/>
    <n v="0.12499999999999994"/>
    <n v="0.5"/>
    <n v="0.27499999999999997"/>
  </r>
  <r>
    <s v="ID000746"/>
    <x v="3"/>
    <x v="3"/>
    <s v="Technova"/>
    <x v="1"/>
    <n v="23"/>
    <n v="48000"/>
    <d v="2017-12-14T00:00:00"/>
    <n v="3"/>
    <x v="1"/>
    <n v="2"/>
    <n v="4.1666666666666665E-5"/>
    <b v="1"/>
    <b v="1"/>
    <x v="0"/>
    <n v="0.12499999999999994"/>
    <n v="0.5"/>
    <n v="0.27499999999999997"/>
  </r>
  <r>
    <s v="ID000762"/>
    <x v="3"/>
    <x v="3"/>
    <s v="Technova"/>
    <x v="1"/>
    <n v="9"/>
    <n v="48000"/>
    <d v="2024-04-17T00:00:00"/>
    <n v="3"/>
    <x v="1"/>
    <n v="2"/>
    <n v="4.1666666666666665E-5"/>
    <b v="0"/>
    <b v="1"/>
    <x v="0"/>
    <n v="0.12499999999999994"/>
    <n v="0.5"/>
    <n v="0.27499999999999997"/>
  </r>
  <r>
    <s v="ID000789"/>
    <x v="1"/>
    <x v="1"/>
    <s v="Technova"/>
    <x v="1"/>
    <n v="3"/>
    <n v="24000"/>
    <d v="2011-12-29T00:00:00"/>
    <n v="3"/>
    <x v="0"/>
    <n v="1"/>
    <n v="4.1666666666666665E-5"/>
    <b v="0"/>
    <b v="0"/>
    <x v="0"/>
    <n v="0.12499999999999994"/>
    <n v="0.5"/>
    <n v="0.27499999999999997"/>
  </r>
  <r>
    <s v="ID000969"/>
    <x v="5"/>
    <x v="5"/>
    <s v="Dataverse"/>
    <x v="0"/>
    <n v="14"/>
    <n v="72000"/>
    <d v="2020-04-10T00:00:00"/>
    <n v="3"/>
    <x v="2"/>
    <n v="3"/>
    <n v="4.1666666666666665E-5"/>
    <b v="0"/>
    <b v="1"/>
    <x v="0"/>
    <n v="0.12499999999999994"/>
    <n v="0.5"/>
    <n v="0.27499999999999997"/>
  </r>
  <r>
    <s v="ID000160"/>
    <x v="7"/>
    <x v="7"/>
    <s v="Technova"/>
    <x v="1"/>
    <n v="11"/>
    <n v="38000"/>
    <d v="2005-02-11T00:00:00"/>
    <n v="2"/>
    <x v="1"/>
    <n v="2"/>
    <n v="5.2631578947368424E-5"/>
    <b v="0"/>
    <b v="1"/>
    <x v="0"/>
    <n v="0.28947368421052633"/>
    <n v="0.25"/>
    <n v="0.27368421052631581"/>
  </r>
  <r>
    <s v="ID000340"/>
    <x v="6"/>
    <x v="6"/>
    <s v="Dataverse"/>
    <x v="0"/>
    <n v="13"/>
    <n v="38000"/>
    <d v="2014-09-05T00:00:00"/>
    <n v="2"/>
    <x v="1"/>
    <n v="2"/>
    <n v="5.2631578947368424E-5"/>
    <b v="0"/>
    <b v="1"/>
    <x v="0"/>
    <n v="0.28947368421052633"/>
    <n v="0.25"/>
    <n v="0.27368421052631581"/>
  </r>
  <r>
    <s v="ID000460"/>
    <x v="2"/>
    <x v="2"/>
    <s v="Dataverse"/>
    <x v="0"/>
    <n v="20"/>
    <n v="38000"/>
    <d v="2008-11-05T00:00:00"/>
    <n v="2"/>
    <x v="1"/>
    <n v="2"/>
    <n v="5.2631578947368424E-5"/>
    <b v="1"/>
    <b v="1"/>
    <x v="0"/>
    <n v="0.28947368421052633"/>
    <n v="0.25"/>
    <n v="0.27368421052631581"/>
  </r>
  <r>
    <s v="ID000613"/>
    <x v="1"/>
    <x v="1"/>
    <s v="Technova"/>
    <x v="1"/>
    <n v="14"/>
    <n v="19000"/>
    <d v="2007-08-30T00:00:00"/>
    <n v="2"/>
    <x v="0"/>
    <n v="1"/>
    <n v="5.2631578947368424E-5"/>
    <b v="0"/>
    <b v="1"/>
    <x v="0"/>
    <n v="0.28947368421052633"/>
    <n v="0.25"/>
    <n v="0.27368421052631581"/>
  </r>
  <r>
    <s v="ID000616"/>
    <x v="1"/>
    <x v="1"/>
    <s v="Technova"/>
    <x v="1"/>
    <n v="8"/>
    <n v="19000"/>
    <d v="2016-06-24T00:00:00"/>
    <n v="2"/>
    <x v="0"/>
    <n v="1"/>
    <n v="5.2631578947368424E-5"/>
    <b v="0"/>
    <b v="1"/>
    <x v="0"/>
    <n v="0.28947368421052633"/>
    <n v="0.25"/>
    <n v="0.27368421052631581"/>
  </r>
  <r>
    <s v="ID000651"/>
    <x v="3"/>
    <x v="3"/>
    <s v="Dataverse"/>
    <x v="0"/>
    <n v="23"/>
    <n v="38000"/>
    <d v="2007-02-22T00:00:00"/>
    <n v="2"/>
    <x v="1"/>
    <n v="2"/>
    <n v="5.2631578947368424E-5"/>
    <b v="1"/>
    <b v="1"/>
    <x v="0"/>
    <n v="0.28947368421052633"/>
    <n v="0.25"/>
    <n v="0.27368421052631581"/>
  </r>
  <r>
    <s v="ID000682"/>
    <x v="1"/>
    <x v="1"/>
    <s v="Dataverse"/>
    <x v="0"/>
    <n v="3"/>
    <n v="19000"/>
    <d v="2017-02-09T00:00:00"/>
    <n v="2"/>
    <x v="0"/>
    <n v="1"/>
    <n v="5.2631578947368424E-5"/>
    <b v="0"/>
    <b v="0"/>
    <x v="0"/>
    <n v="0.28947368421052633"/>
    <n v="0.25"/>
    <n v="0.27368421052631581"/>
  </r>
  <r>
    <s v="ID000756"/>
    <x v="3"/>
    <x v="3"/>
    <s v="Technova"/>
    <x v="1"/>
    <n v="10"/>
    <n v="38000"/>
    <d v="2013-03-29T00:00:00"/>
    <n v="2"/>
    <x v="1"/>
    <n v="2"/>
    <n v="5.2631578947368424E-5"/>
    <b v="0"/>
    <b v="1"/>
    <x v="0"/>
    <n v="0.28947368421052633"/>
    <n v="0.25"/>
    <n v="0.27368421052631581"/>
  </r>
  <r>
    <s v="ID000794"/>
    <x v="1"/>
    <x v="1"/>
    <s v="Technova"/>
    <x v="1"/>
    <n v="21"/>
    <n v="19000"/>
    <d v="2019-01-30T00:00:00"/>
    <n v="2"/>
    <x v="0"/>
    <n v="1"/>
    <n v="5.2631578947368424E-5"/>
    <b v="1"/>
    <b v="1"/>
    <x v="0"/>
    <n v="0.28947368421052633"/>
    <n v="0.25"/>
    <n v="0.27368421052631581"/>
  </r>
  <r>
    <s v="ID000861"/>
    <x v="3"/>
    <x v="3"/>
    <s v="Dataverse"/>
    <x v="0"/>
    <n v="19"/>
    <n v="38000"/>
    <d v="2005-03-05T00:00:00"/>
    <n v="2"/>
    <x v="1"/>
    <n v="2"/>
    <n v="5.2631578947368424E-5"/>
    <b v="1"/>
    <b v="1"/>
    <x v="0"/>
    <n v="0.28947368421052633"/>
    <n v="0.25"/>
    <n v="0.27368421052631581"/>
  </r>
  <r>
    <s v="ID000991"/>
    <x v="4"/>
    <x v="4"/>
    <s v="Dataverse"/>
    <x v="0"/>
    <n v="20"/>
    <n v="38000"/>
    <d v="2005-08-10T00:00:00"/>
    <n v="2"/>
    <x v="1"/>
    <n v="2"/>
    <n v="5.2631578947368424E-5"/>
    <b v="1"/>
    <b v="1"/>
    <x v="0"/>
    <n v="0.28947368421052633"/>
    <n v="0.25"/>
    <n v="0.27368421052631581"/>
  </r>
  <r>
    <s v="ID000703"/>
    <x v="5"/>
    <x v="5"/>
    <s v="Technova"/>
    <x v="1"/>
    <n v="15"/>
    <n v="73000"/>
    <d v="2021-02-11T00:00:00"/>
    <n v="3"/>
    <x v="2"/>
    <n v="3"/>
    <n v="4.1095890410958905E-5"/>
    <b v="0"/>
    <b v="1"/>
    <x v="0"/>
    <n v="0.11643835616438356"/>
    <n v="0.5"/>
    <n v="0.26986301369863014"/>
  </r>
  <r>
    <s v="ID000095"/>
    <x v="7"/>
    <x v="7"/>
    <s v="Dataverse"/>
    <x v="0"/>
    <n v="5"/>
    <n v="49000"/>
    <d v="2016-02-10T00:00:00"/>
    <n v="3"/>
    <x v="1"/>
    <n v="2"/>
    <n v="4.0816326530612245E-5"/>
    <b v="0"/>
    <b v="0"/>
    <x v="0"/>
    <n v="0.11224489795918365"/>
    <n v="0.5"/>
    <n v="0.26734693877551019"/>
  </r>
  <r>
    <s v="ID000430"/>
    <x v="2"/>
    <x v="2"/>
    <s v="Technova"/>
    <x v="1"/>
    <n v="6"/>
    <n v="49000"/>
    <d v="2009-02-15T00:00:00"/>
    <n v="3"/>
    <x v="1"/>
    <n v="2"/>
    <n v="4.0816326530612245E-5"/>
    <b v="0"/>
    <b v="1"/>
    <x v="0"/>
    <n v="0.11224489795918365"/>
    <n v="0.5"/>
    <n v="0.26734693877551019"/>
  </r>
  <r>
    <s v="ID000464"/>
    <x v="2"/>
    <x v="2"/>
    <s v="Dataverse"/>
    <x v="0"/>
    <n v="19"/>
    <n v="49000"/>
    <d v="2006-12-14T00:00:00"/>
    <n v="3"/>
    <x v="1"/>
    <n v="2"/>
    <n v="4.0816326530612245E-5"/>
    <b v="1"/>
    <b v="1"/>
    <x v="0"/>
    <n v="0.11224489795918365"/>
    <n v="0.5"/>
    <n v="0.26734693877551019"/>
  </r>
  <r>
    <s v="ID000563"/>
    <x v="3"/>
    <x v="3"/>
    <s v="Dataverse"/>
    <x v="0"/>
    <n v="7"/>
    <n v="49000"/>
    <d v="2005-09-05T00:00:00"/>
    <n v="3"/>
    <x v="1"/>
    <n v="2"/>
    <n v="4.0816326530612245E-5"/>
    <b v="0"/>
    <b v="1"/>
    <x v="0"/>
    <n v="0.11224489795918365"/>
    <n v="0.5"/>
    <n v="0.26734693877551019"/>
  </r>
  <r>
    <s v="ID000956"/>
    <x v="4"/>
    <x v="4"/>
    <s v="Technova"/>
    <x v="1"/>
    <n v="11"/>
    <n v="49000"/>
    <d v="2023-04-02T00:00:00"/>
    <n v="3"/>
    <x v="1"/>
    <n v="2"/>
    <n v="4.0816326530612245E-5"/>
    <b v="0"/>
    <b v="1"/>
    <x v="0"/>
    <n v="0.11224489795918365"/>
    <n v="0.5"/>
    <n v="0.26734693877551019"/>
  </r>
  <r>
    <s v="ID000808"/>
    <x v="5"/>
    <x v="5"/>
    <s v="Dataverse"/>
    <x v="0"/>
    <n v="3"/>
    <n v="74000"/>
    <d v="2016-03-15T00:00:00"/>
    <n v="3"/>
    <x v="2"/>
    <n v="3"/>
    <n v="4.0540540540540538E-5"/>
    <b v="0"/>
    <b v="0"/>
    <x v="0"/>
    <n v="0.10810810810810804"/>
    <n v="0.5"/>
    <n v="0.26486486486486482"/>
  </r>
  <r>
    <s v="ID000065"/>
    <x v="5"/>
    <x v="5"/>
    <s v="Dataverse"/>
    <x v="0"/>
    <n v="5"/>
    <n v="32000"/>
    <d v="2006-07-15T00:00:00"/>
    <n v="1"/>
    <x v="1"/>
    <n v="2"/>
    <n v="6.2500000000000001E-5"/>
    <b v="0"/>
    <b v="0"/>
    <x v="0"/>
    <n v="0.4375"/>
    <n v="0"/>
    <n v="0.26250000000000001"/>
  </r>
  <r>
    <s v="ID000239"/>
    <x v="0"/>
    <x v="0"/>
    <s v="Dataverse"/>
    <x v="0"/>
    <n v="25"/>
    <n v="16000"/>
    <d v="2009-02-14T00:00:00"/>
    <n v="1"/>
    <x v="0"/>
    <n v="1"/>
    <n v="6.2500000000000001E-5"/>
    <b v="1"/>
    <b v="1"/>
    <x v="0"/>
    <n v="0.4375"/>
    <n v="0"/>
    <n v="0.26250000000000001"/>
  </r>
  <r>
    <s v="ID000420"/>
    <x v="2"/>
    <x v="2"/>
    <s v="Technova"/>
    <x v="1"/>
    <n v="18"/>
    <n v="32000"/>
    <d v="2013-03-14T00:00:00"/>
    <n v="1"/>
    <x v="1"/>
    <n v="2"/>
    <n v="6.2500000000000001E-5"/>
    <b v="1"/>
    <b v="1"/>
    <x v="0"/>
    <n v="0.4375"/>
    <n v="0"/>
    <n v="0.26250000000000001"/>
  </r>
  <r>
    <s v="ID000500"/>
    <x v="2"/>
    <x v="2"/>
    <s v="Technova"/>
    <x v="1"/>
    <n v="25"/>
    <n v="32000"/>
    <d v="2006-09-05T00:00:00"/>
    <n v="1"/>
    <x v="1"/>
    <n v="2"/>
    <n v="6.2500000000000001E-5"/>
    <b v="1"/>
    <b v="1"/>
    <x v="0"/>
    <n v="0.4375"/>
    <n v="0"/>
    <n v="0.26250000000000001"/>
  </r>
  <r>
    <s v="ID000540"/>
    <x v="2"/>
    <x v="2"/>
    <s v="Dataverse"/>
    <x v="0"/>
    <n v="9"/>
    <n v="32000"/>
    <d v="2014-05-21T00:00:00"/>
    <n v="1"/>
    <x v="1"/>
    <n v="2"/>
    <n v="6.2500000000000001E-5"/>
    <b v="0"/>
    <b v="1"/>
    <x v="0"/>
    <n v="0.4375"/>
    <n v="0"/>
    <n v="0.26250000000000001"/>
  </r>
  <r>
    <s v="ID000814"/>
    <x v="3"/>
    <x v="3"/>
    <s v="Dataverse"/>
    <x v="0"/>
    <n v="7"/>
    <n v="32000"/>
    <d v="2006-03-18T00:00:00"/>
    <n v="1"/>
    <x v="1"/>
    <n v="2"/>
    <n v="6.2500000000000001E-5"/>
    <b v="0"/>
    <b v="1"/>
    <x v="0"/>
    <n v="0.4375"/>
    <n v="0"/>
    <n v="0.26250000000000001"/>
  </r>
  <r>
    <s v="ID000839"/>
    <x v="3"/>
    <x v="3"/>
    <s v="Dataverse"/>
    <x v="0"/>
    <n v="9"/>
    <n v="32000"/>
    <d v="2005-12-03T00:00:00"/>
    <n v="1"/>
    <x v="1"/>
    <n v="2"/>
    <n v="6.2500000000000001E-5"/>
    <b v="0"/>
    <b v="1"/>
    <x v="0"/>
    <n v="0.4375"/>
    <n v="0"/>
    <n v="0.26250000000000001"/>
  </r>
  <r>
    <s v="ID000959"/>
    <x v="1"/>
    <x v="1"/>
    <s v="Technova"/>
    <x v="1"/>
    <n v="19"/>
    <n v="16000"/>
    <d v="2006-09-15T00:00:00"/>
    <n v="1"/>
    <x v="0"/>
    <n v="1"/>
    <n v="6.2500000000000001E-5"/>
    <b v="1"/>
    <b v="1"/>
    <x v="0"/>
    <n v="0.4375"/>
    <n v="0"/>
    <n v="0.26250000000000001"/>
  </r>
  <r>
    <s v="ID000972"/>
    <x v="4"/>
    <x v="4"/>
    <s v="Dataverse"/>
    <x v="0"/>
    <n v="2"/>
    <n v="32000"/>
    <d v="2008-04-03T00:00:00"/>
    <n v="1"/>
    <x v="1"/>
    <n v="2"/>
    <n v="6.2500000000000001E-5"/>
    <b v="0"/>
    <b v="0"/>
    <x v="0"/>
    <n v="0.4375"/>
    <n v="0"/>
    <n v="0.26250000000000001"/>
  </r>
  <r>
    <s v="ID000144"/>
    <x v="7"/>
    <x v="7"/>
    <s v="Technova"/>
    <x v="1"/>
    <n v="6"/>
    <n v="39000"/>
    <d v="2008-09-03T00:00:00"/>
    <n v="2"/>
    <x v="1"/>
    <n v="2"/>
    <n v="5.1282051282051279E-5"/>
    <b v="0"/>
    <b v="1"/>
    <x v="0"/>
    <n v="0.26923076923076916"/>
    <n v="0.25"/>
    <n v="0.2615384615384615"/>
  </r>
  <r>
    <s v="ID000159"/>
    <x v="7"/>
    <x v="7"/>
    <s v="Technova"/>
    <x v="1"/>
    <n v="1"/>
    <n v="39000"/>
    <d v="2012-07-04T00:00:00"/>
    <n v="2"/>
    <x v="1"/>
    <n v="2"/>
    <n v="5.1282051282051279E-5"/>
    <b v="0"/>
    <b v="0"/>
    <x v="0"/>
    <n v="0.26923076923076916"/>
    <n v="0.25"/>
    <n v="0.2615384615384615"/>
  </r>
  <r>
    <s v="ID000166"/>
    <x v="7"/>
    <x v="7"/>
    <s v="Technova"/>
    <x v="1"/>
    <n v="3"/>
    <n v="39000"/>
    <d v="2008-09-30T00:00:00"/>
    <n v="2"/>
    <x v="1"/>
    <n v="2"/>
    <n v="5.1282051282051279E-5"/>
    <b v="0"/>
    <b v="0"/>
    <x v="0"/>
    <n v="0.26923076923076916"/>
    <n v="0.25"/>
    <n v="0.2615384615384615"/>
  </r>
  <r>
    <s v="ID000336"/>
    <x v="6"/>
    <x v="6"/>
    <s v="Dataverse"/>
    <x v="0"/>
    <n v="7"/>
    <n v="39000"/>
    <d v="2005-09-23T00:00:00"/>
    <n v="2"/>
    <x v="1"/>
    <n v="2"/>
    <n v="5.1282051282051279E-5"/>
    <b v="0"/>
    <b v="1"/>
    <x v="0"/>
    <n v="0.26923076923076916"/>
    <n v="0.25"/>
    <n v="0.2615384615384615"/>
  </r>
  <r>
    <s v="ID000561"/>
    <x v="3"/>
    <x v="3"/>
    <s v="Dataverse"/>
    <x v="0"/>
    <n v="8"/>
    <n v="39000"/>
    <d v="2006-12-16T00:00:00"/>
    <n v="2"/>
    <x v="1"/>
    <n v="2"/>
    <n v="5.1282051282051279E-5"/>
    <b v="0"/>
    <b v="1"/>
    <x v="0"/>
    <n v="0.26923076923076916"/>
    <n v="0.25"/>
    <n v="0.2615384615384615"/>
  </r>
  <r>
    <s v="ID000133"/>
    <x v="7"/>
    <x v="7"/>
    <s v="Technova"/>
    <x v="1"/>
    <n v="17"/>
    <n v="50000"/>
    <d v="2019-02-17T00:00:00"/>
    <n v="3"/>
    <x v="1"/>
    <n v="2"/>
    <n v="4.0000000000000003E-5"/>
    <b v="1"/>
    <b v="1"/>
    <x v="0"/>
    <n v="0.10000000000000002"/>
    <n v="0.5"/>
    <n v="0.26"/>
  </r>
  <r>
    <s v="ID000553"/>
    <x v="3"/>
    <x v="3"/>
    <s v="Dataverse"/>
    <x v="0"/>
    <n v="19"/>
    <n v="50000"/>
    <d v="2017-12-27T00:00:00"/>
    <n v="3"/>
    <x v="1"/>
    <n v="2"/>
    <n v="4.0000000000000003E-5"/>
    <b v="1"/>
    <b v="1"/>
    <x v="0"/>
    <n v="0.10000000000000002"/>
    <n v="0.5"/>
    <n v="0.26"/>
  </r>
  <r>
    <s v="ID000677"/>
    <x v="1"/>
    <x v="1"/>
    <s v="Dataverse"/>
    <x v="0"/>
    <n v="25"/>
    <n v="25000"/>
    <d v="2022-11-12T00:00:00"/>
    <n v="3"/>
    <x v="0"/>
    <n v="1"/>
    <n v="4.0000000000000003E-5"/>
    <b v="1"/>
    <b v="1"/>
    <x v="0"/>
    <n v="0.10000000000000002"/>
    <n v="0.5"/>
    <n v="0.26"/>
  </r>
  <r>
    <s v="ID000683"/>
    <x v="1"/>
    <x v="1"/>
    <s v="Dataverse"/>
    <x v="0"/>
    <n v="11"/>
    <n v="25000"/>
    <d v="2014-01-03T00:00:00"/>
    <n v="3"/>
    <x v="0"/>
    <n v="1"/>
    <n v="4.0000000000000003E-5"/>
    <b v="0"/>
    <b v="1"/>
    <x v="0"/>
    <n v="0.10000000000000002"/>
    <n v="0.5"/>
    <n v="0.26"/>
  </r>
  <r>
    <s v="ID000955"/>
    <x v="4"/>
    <x v="4"/>
    <s v="Technova"/>
    <x v="1"/>
    <n v="12"/>
    <n v="50000"/>
    <d v="2019-02-12T00:00:00"/>
    <n v="3"/>
    <x v="1"/>
    <n v="2"/>
    <n v="4.0000000000000003E-5"/>
    <b v="0"/>
    <b v="1"/>
    <x v="0"/>
    <n v="0.10000000000000002"/>
    <n v="0.5"/>
    <n v="0.26"/>
  </r>
  <r>
    <s v="ID000004"/>
    <x v="8"/>
    <x v="8"/>
    <s v="Technova"/>
    <x v="1"/>
    <n v="2"/>
    <n v="77000"/>
    <d v="2016-11-02T00:00:00"/>
    <n v="3"/>
    <x v="2"/>
    <n v="3"/>
    <n v="3.896103896103896E-5"/>
    <b v="0"/>
    <b v="0"/>
    <x v="0"/>
    <n v="8.441558441558436E-2"/>
    <n v="0.5"/>
    <n v="0.25064935064935062"/>
  </r>
  <r>
    <s v="ID000024"/>
    <x v="5"/>
    <x v="5"/>
    <s v="Technova"/>
    <x v="1"/>
    <n v="25"/>
    <n v="40000"/>
    <d v="2020-04-17T00:00:00"/>
    <n v="2"/>
    <x v="1"/>
    <n v="2"/>
    <n v="5.0000000000000002E-5"/>
    <b v="1"/>
    <b v="1"/>
    <x v="0"/>
    <n v="0.25"/>
    <n v="0.25"/>
    <n v="0.25"/>
  </r>
  <r>
    <s v="ID000222"/>
    <x v="7"/>
    <x v="7"/>
    <s v="Dataverse"/>
    <x v="0"/>
    <n v="5"/>
    <n v="40000"/>
    <d v="2020-03-21T00:00:00"/>
    <n v="2"/>
    <x v="1"/>
    <n v="2"/>
    <n v="5.0000000000000002E-5"/>
    <b v="0"/>
    <b v="0"/>
    <x v="0"/>
    <n v="0.25"/>
    <n v="0.25"/>
    <n v="0.25"/>
  </r>
  <r>
    <s v="ID000469"/>
    <x v="2"/>
    <x v="2"/>
    <s v="Dataverse"/>
    <x v="0"/>
    <n v="23"/>
    <n v="40000"/>
    <d v="2011-12-31T00:00:00"/>
    <n v="2"/>
    <x v="1"/>
    <n v="2"/>
    <n v="5.0000000000000002E-5"/>
    <b v="1"/>
    <b v="1"/>
    <x v="0"/>
    <n v="0.25"/>
    <n v="0.25"/>
    <n v="0.25"/>
  </r>
  <r>
    <s v="ID000596"/>
    <x v="3"/>
    <x v="3"/>
    <s v="Technova"/>
    <x v="1"/>
    <n v="2"/>
    <n v="40000"/>
    <d v="2014-07-26T00:00:00"/>
    <n v="2"/>
    <x v="1"/>
    <n v="2"/>
    <n v="5.0000000000000002E-5"/>
    <b v="0"/>
    <b v="0"/>
    <x v="0"/>
    <n v="0.25"/>
    <n v="0.25"/>
    <n v="0.25"/>
  </r>
  <r>
    <s v="ID000622"/>
    <x v="1"/>
    <x v="1"/>
    <s v="Technova"/>
    <x v="1"/>
    <n v="19"/>
    <n v="20000"/>
    <d v="2022-08-03T00:00:00"/>
    <n v="2"/>
    <x v="0"/>
    <n v="1"/>
    <n v="5.0000000000000002E-5"/>
    <b v="1"/>
    <b v="1"/>
    <x v="0"/>
    <n v="0.25"/>
    <n v="0.25"/>
    <n v="0.25"/>
  </r>
  <r>
    <s v="ID000892"/>
    <x v="1"/>
    <x v="1"/>
    <s v="Dataverse"/>
    <x v="0"/>
    <n v="20"/>
    <n v="20000"/>
    <d v="2011-11-02T00:00:00"/>
    <n v="2"/>
    <x v="0"/>
    <n v="1"/>
    <n v="5.0000000000000002E-5"/>
    <b v="1"/>
    <b v="1"/>
    <x v="0"/>
    <n v="0.25"/>
    <n v="0.25"/>
    <n v="0.25"/>
  </r>
  <r>
    <s v="ID000130"/>
    <x v="8"/>
    <x v="8"/>
    <s v="Technova"/>
    <x v="1"/>
    <n v="16"/>
    <n v="78000"/>
    <d v="2023-10-20T00:00:00"/>
    <n v="3"/>
    <x v="2"/>
    <n v="3"/>
    <n v="3.8461538461538463E-5"/>
    <b v="1"/>
    <b v="1"/>
    <x v="0"/>
    <n v="7.6923076923076913E-2"/>
    <n v="0.5"/>
    <n v="0.24615384615384617"/>
  </r>
  <r>
    <s v="ID000181"/>
    <x v="0"/>
    <x v="0"/>
    <s v="Technova"/>
    <x v="1"/>
    <n v="3"/>
    <n v="26000"/>
    <d v="2022-07-01T00:00:00"/>
    <n v="3"/>
    <x v="0"/>
    <n v="1"/>
    <n v="3.8461538461538463E-5"/>
    <b v="0"/>
    <b v="0"/>
    <x v="0"/>
    <n v="7.6923076923076913E-2"/>
    <n v="0.5"/>
    <n v="0.24615384615384617"/>
  </r>
  <r>
    <s v="ID000188"/>
    <x v="0"/>
    <x v="0"/>
    <s v="Technova"/>
    <x v="1"/>
    <n v="7"/>
    <n v="26000"/>
    <d v="2008-02-01T00:00:00"/>
    <n v="3"/>
    <x v="0"/>
    <n v="1"/>
    <n v="3.8461538461538463E-5"/>
    <b v="0"/>
    <b v="1"/>
    <x v="0"/>
    <n v="7.6923076923076913E-2"/>
    <n v="0.5"/>
    <n v="0.24615384615384617"/>
  </r>
  <r>
    <s v="ID000067"/>
    <x v="5"/>
    <x v="5"/>
    <s v="Dataverse"/>
    <x v="0"/>
    <n v="13"/>
    <n v="33000"/>
    <d v="2009-09-29T00:00:00"/>
    <n v="1"/>
    <x v="1"/>
    <n v="2"/>
    <n v="6.0606060606060605E-5"/>
    <b v="0"/>
    <b v="1"/>
    <x v="0"/>
    <n v="0.40909090909090901"/>
    <n v="0"/>
    <n v="0.2454545454545454"/>
  </r>
  <r>
    <s v="ID000089"/>
    <x v="7"/>
    <x v="7"/>
    <s v="Dataverse"/>
    <x v="0"/>
    <n v="8"/>
    <n v="33000"/>
    <d v="2024-02-03T00:00:00"/>
    <n v="1"/>
    <x v="1"/>
    <n v="2"/>
    <n v="6.0606060606060605E-5"/>
    <b v="0"/>
    <b v="1"/>
    <x v="0"/>
    <n v="0.40909090909090901"/>
    <n v="0"/>
    <n v="0.2454545454545454"/>
  </r>
  <r>
    <s v="ID000102"/>
    <x v="7"/>
    <x v="7"/>
    <s v="Dataverse"/>
    <x v="0"/>
    <n v="19"/>
    <n v="33000"/>
    <d v="2019-08-12T00:00:00"/>
    <n v="1"/>
    <x v="1"/>
    <n v="2"/>
    <n v="6.0606060606060605E-5"/>
    <b v="1"/>
    <b v="1"/>
    <x v="0"/>
    <n v="0.40909090909090901"/>
    <n v="0"/>
    <n v="0.2454545454545454"/>
  </r>
  <r>
    <s v="ID000163"/>
    <x v="7"/>
    <x v="7"/>
    <s v="Technova"/>
    <x v="1"/>
    <n v="16"/>
    <n v="33000"/>
    <d v="2014-10-30T00:00:00"/>
    <n v="1"/>
    <x v="1"/>
    <n v="2"/>
    <n v="6.0606060606060605E-5"/>
    <b v="1"/>
    <b v="1"/>
    <x v="0"/>
    <n v="0.40909090909090901"/>
    <n v="0"/>
    <n v="0.2454545454545454"/>
  </r>
  <r>
    <s v="ID000263"/>
    <x v="6"/>
    <x v="6"/>
    <s v="Technova"/>
    <x v="1"/>
    <n v="9"/>
    <n v="33000"/>
    <d v="2023-03-27T00:00:00"/>
    <n v="1"/>
    <x v="1"/>
    <n v="2"/>
    <n v="6.0606060606060605E-5"/>
    <b v="0"/>
    <b v="1"/>
    <x v="0"/>
    <n v="0.40909090909090901"/>
    <n v="0"/>
    <n v="0.2454545454545454"/>
  </r>
  <r>
    <s v="ID000417"/>
    <x v="2"/>
    <x v="2"/>
    <s v="Technova"/>
    <x v="1"/>
    <n v="21"/>
    <n v="33000"/>
    <d v="2011-07-22T00:00:00"/>
    <n v="1"/>
    <x v="1"/>
    <n v="2"/>
    <n v="6.0606060606060605E-5"/>
    <b v="1"/>
    <b v="1"/>
    <x v="0"/>
    <n v="0.40909090909090901"/>
    <n v="0"/>
    <n v="0.2454545454545454"/>
  </r>
  <r>
    <s v="ID000436"/>
    <x v="2"/>
    <x v="2"/>
    <s v="Technova"/>
    <x v="1"/>
    <n v="5"/>
    <n v="33000"/>
    <d v="2018-05-24T00:00:00"/>
    <n v="1"/>
    <x v="1"/>
    <n v="2"/>
    <n v="6.0606060606060605E-5"/>
    <b v="0"/>
    <b v="0"/>
    <x v="0"/>
    <n v="0.40909090909090901"/>
    <n v="0"/>
    <n v="0.2454545454545454"/>
  </r>
  <r>
    <s v="ID000817"/>
    <x v="3"/>
    <x v="3"/>
    <s v="Dataverse"/>
    <x v="0"/>
    <n v="3"/>
    <n v="33000"/>
    <d v="2010-03-19T00:00:00"/>
    <n v="1"/>
    <x v="1"/>
    <n v="2"/>
    <n v="6.0606060606060605E-5"/>
    <b v="0"/>
    <b v="0"/>
    <x v="0"/>
    <n v="0.40909090909090901"/>
    <n v="0"/>
    <n v="0.2454545454545454"/>
  </r>
  <r>
    <s v="ID000702"/>
    <x v="5"/>
    <x v="5"/>
    <s v="Technova"/>
    <x v="1"/>
    <n v="20"/>
    <n v="61000"/>
    <d v="2008-01-29T00:00:00"/>
    <n v="2"/>
    <x v="2"/>
    <n v="3"/>
    <n v="4.9180327868852456E-5"/>
    <b v="1"/>
    <b v="1"/>
    <x v="0"/>
    <n v="0.23770491803278682"/>
    <n v="0.25"/>
    <n v="0.24262295081967208"/>
  </r>
  <r>
    <s v="ID000018"/>
    <x v="5"/>
    <x v="5"/>
    <s v="Technova"/>
    <x v="1"/>
    <n v="9"/>
    <n v="41000"/>
    <d v="2017-05-16T00:00:00"/>
    <n v="2"/>
    <x v="1"/>
    <n v="2"/>
    <n v="4.8780487804878051E-5"/>
    <b v="0"/>
    <b v="1"/>
    <x v="0"/>
    <n v="0.23170731707317074"/>
    <n v="0.25"/>
    <n v="0.23902439024390246"/>
  </r>
  <r>
    <s v="ID000092"/>
    <x v="7"/>
    <x v="7"/>
    <s v="Dataverse"/>
    <x v="0"/>
    <n v="18"/>
    <n v="41000"/>
    <d v="2010-01-02T00:00:00"/>
    <n v="2"/>
    <x v="1"/>
    <n v="2"/>
    <n v="4.8780487804878051E-5"/>
    <b v="1"/>
    <b v="1"/>
    <x v="0"/>
    <n v="0.23170731707317074"/>
    <n v="0.25"/>
    <n v="0.23902439024390246"/>
  </r>
  <r>
    <s v="ID000208"/>
    <x v="7"/>
    <x v="7"/>
    <s v="Dataverse"/>
    <x v="0"/>
    <n v="16"/>
    <n v="41000"/>
    <d v="2016-04-03T00:00:00"/>
    <n v="2"/>
    <x v="1"/>
    <n v="2"/>
    <n v="4.8780487804878051E-5"/>
    <b v="1"/>
    <b v="1"/>
    <x v="0"/>
    <n v="0.23170731707317074"/>
    <n v="0.25"/>
    <n v="0.23902439024390246"/>
  </r>
  <r>
    <s v="ID000424"/>
    <x v="2"/>
    <x v="2"/>
    <s v="Technova"/>
    <x v="1"/>
    <n v="25"/>
    <n v="41000"/>
    <d v="2015-08-04T00:00:00"/>
    <n v="2"/>
    <x v="1"/>
    <n v="2"/>
    <n v="4.8780487804878051E-5"/>
    <b v="1"/>
    <b v="1"/>
    <x v="0"/>
    <n v="0.23170731707317074"/>
    <n v="0.25"/>
    <n v="0.23902439024390246"/>
  </r>
  <r>
    <s v="ID000601"/>
    <x v="3"/>
    <x v="3"/>
    <s v="Technova"/>
    <x v="1"/>
    <n v="11"/>
    <n v="41000"/>
    <d v="2020-06-25T00:00:00"/>
    <n v="2"/>
    <x v="1"/>
    <n v="2"/>
    <n v="4.8780487804878051E-5"/>
    <b v="0"/>
    <b v="1"/>
    <x v="0"/>
    <n v="0.23170731707317074"/>
    <n v="0.25"/>
    <n v="0.23902439024390246"/>
  </r>
  <r>
    <s v="ID000771"/>
    <x v="3"/>
    <x v="3"/>
    <s v="Technova"/>
    <x v="1"/>
    <n v="1"/>
    <n v="41000"/>
    <d v="2014-06-24T00:00:00"/>
    <n v="2"/>
    <x v="1"/>
    <n v="2"/>
    <n v="4.8780487804878051E-5"/>
    <b v="0"/>
    <b v="0"/>
    <x v="0"/>
    <n v="0.23170731707317074"/>
    <n v="0.25"/>
    <n v="0.23902439024390246"/>
  </r>
  <r>
    <s v="ID000852"/>
    <x v="3"/>
    <x v="3"/>
    <s v="Dataverse"/>
    <x v="0"/>
    <n v="23"/>
    <n v="41000"/>
    <d v="2006-02-24T00:00:00"/>
    <n v="2"/>
    <x v="1"/>
    <n v="2"/>
    <n v="4.8780487804878051E-5"/>
    <b v="1"/>
    <b v="1"/>
    <x v="0"/>
    <n v="0.23170731707317074"/>
    <n v="0.25"/>
    <n v="0.23902439024390246"/>
  </r>
  <r>
    <s v="ID000534"/>
    <x v="5"/>
    <x v="5"/>
    <s v="Dataverse"/>
    <x v="0"/>
    <n v="3"/>
    <n v="80000"/>
    <d v="2011-12-29T00:00:00"/>
    <n v="3"/>
    <x v="2"/>
    <n v="3"/>
    <n v="3.7499999999999997E-5"/>
    <b v="0"/>
    <b v="0"/>
    <x v="0"/>
    <n v="6.2499999999999924E-2"/>
    <n v="0.5"/>
    <n v="0.23749999999999996"/>
  </r>
  <r>
    <s v="ID000252"/>
    <x v="9"/>
    <x v="9"/>
    <s v="Technova"/>
    <x v="1"/>
    <n v="4"/>
    <n v="62000"/>
    <d v="2015-08-28T00:00:00"/>
    <n v="2"/>
    <x v="2"/>
    <n v="3"/>
    <n v="4.8387096774193547E-5"/>
    <b v="0"/>
    <b v="0"/>
    <x v="0"/>
    <n v="0.22580645161290316"/>
    <n v="0.25"/>
    <n v="0.2354838709677419"/>
  </r>
  <r>
    <s v="ID000369"/>
    <x v="9"/>
    <x v="9"/>
    <s v="Technova"/>
    <x v="1"/>
    <n v="1"/>
    <n v="62000"/>
    <d v="2012-12-07T00:00:00"/>
    <n v="2"/>
    <x v="2"/>
    <n v="3"/>
    <n v="4.8387096774193547E-5"/>
    <b v="0"/>
    <b v="0"/>
    <x v="0"/>
    <n v="0.22580645161290316"/>
    <n v="0.25"/>
    <n v="0.2354838709677419"/>
  </r>
  <r>
    <s v="ID000105"/>
    <x v="0"/>
    <x v="0"/>
    <s v="Dataverse"/>
    <x v="0"/>
    <n v="4"/>
    <n v="27000"/>
    <d v="2015-11-07T00:00:00"/>
    <n v="3"/>
    <x v="0"/>
    <n v="1"/>
    <n v="3.7037037037037037E-5"/>
    <b v="0"/>
    <b v="0"/>
    <x v="0"/>
    <n v="5.5555555555555525E-2"/>
    <n v="0.5"/>
    <n v="0.23333333333333334"/>
  </r>
  <r>
    <s v="ID000320"/>
    <x v="0"/>
    <x v="0"/>
    <s v="Technova"/>
    <x v="1"/>
    <n v="24"/>
    <n v="27000"/>
    <d v="2018-11-20T00:00:00"/>
    <n v="3"/>
    <x v="0"/>
    <n v="1"/>
    <n v="3.7037037037037037E-5"/>
    <b v="1"/>
    <b v="1"/>
    <x v="0"/>
    <n v="5.5555555555555525E-2"/>
    <n v="0.5"/>
    <n v="0.23333333333333334"/>
  </r>
  <r>
    <s v="ID000786"/>
    <x v="1"/>
    <x v="1"/>
    <s v="Technova"/>
    <x v="1"/>
    <n v="5"/>
    <n v="27000"/>
    <d v="2018-09-08T00:00:00"/>
    <n v="3"/>
    <x v="0"/>
    <n v="1"/>
    <n v="3.7037037037037037E-5"/>
    <b v="0"/>
    <b v="0"/>
    <x v="0"/>
    <n v="5.5555555555555525E-2"/>
    <n v="0.5"/>
    <n v="0.23333333333333334"/>
  </r>
  <r>
    <s v="ID000149"/>
    <x v="7"/>
    <x v="7"/>
    <s v="Technova"/>
    <x v="1"/>
    <n v="8"/>
    <n v="34000"/>
    <d v="2012-05-19T00:00:00"/>
    <n v="1"/>
    <x v="1"/>
    <n v="2"/>
    <n v="5.8823529411764708E-5"/>
    <b v="0"/>
    <b v="1"/>
    <x v="0"/>
    <n v="0.38235294117647056"/>
    <n v="0"/>
    <n v="0.22941176470588232"/>
  </r>
  <r>
    <s v="ID000232"/>
    <x v="6"/>
    <x v="6"/>
    <s v="Dataverse"/>
    <x v="0"/>
    <n v="1"/>
    <n v="34000"/>
    <d v="2011-11-02T00:00:00"/>
    <n v="1"/>
    <x v="1"/>
    <n v="2"/>
    <n v="5.8823529411764708E-5"/>
    <b v="0"/>
    <b v="0"/>
    <x v="0"/>
    <n v="0.38235294117647056"/>
    <n v="0"/>
    <n v="0.22941176470588232"/>
  </r>
  <r>
    <s v="ID000235"/>
    <x v="0"/>
    <x v="0"/>
    <s v="Dataverse"/>
    <x v="0"/>
    <n v="14"/>
    <n v="17000"/>
    <d v="2009-09-21T00:00:00"/>
    <n v="1"/>
    <x v="0"/>
    <n v="1"/>
    <n v="5.8823529411764708E-5"/>
    <b v="0"/>
    <b v="1"/>
    <x v="0"/>
    <n v="0.38235294117647056"/>
    <n v="0"/>
    <n v="0.22941176470588232"/>
  </r>
  <r>
    <s v="ID000274"/>
    <x v="6"/>
    <x v="6"/>
    <s v="Technova"/>
    <x v="1"/>
    <n v="21"/>
    <n v="34000"/>
    <d v="2014-01-11T00:00:00"/>
    <n v="1"/>
    <x v="1"/>
    <n v="2"/>
    <n v="5.8823529411764708E-5"/>
    <b v="1"/>
    <b v="1"/>
    <x v="0"/>
    <n v="0.38235294117647056"/>
    <n v="0"/>
    <n v="0.22941176470588232"/>
  </r>
  <r>
    <s v="ID000275"/>
    <x v="6"/>
    <x v="6"/>
    <s v="Technova"/>
    <x v="1"/>
    <n v="12"/>
    <n v="34000"/>
    <d v="2012-05-16T00:00:00"/>
    <n v="1"/>
    <x v="1"/>
    <n v="2"/>
    <n v="5.8823529411764708E-5"/>
    <b v="0"/>
    <b v="1"/>
    <x v="0"/>
    <n v="0.38235294117647056"/>
    <n v="0"/>
    <n v="0.22941176470588232"/>
  </r>
  <r>
    <s v="ID000342"/>
    <x v="6"/>
    <x v="6"/>
    <s v="Dataverse"/>
    <x v="0"/>
    <n v="2"/>
    <n v="34000"/>
    <d v="2005-02-26T00:00:00"/>
    <n v="1"/>
    <x v="1"/>
    <n v="2"/>
    <n v="5.8823529411764708E-5"/>
    <b v="0"/>
    <b v="0"/>
    <x v="0"/>
    <n v="0.38235294117647056"/>
    <n v="0"/>
    <n v="0.22941176470588232"/>
  </r>
  <r>
    <s v="ID000492"/>
    <x v="2"/>
    <x v="2"/>
    <s v="Technova"/>
    <x v="1"/>
    <n v="8"/>
    <n v="34000"/>
    <d v="2012-02-29T00:00:00"/>
    <n v="1"/>
    <x v="1"/>
    <n v="2"/>
    <n v="5.8823529411764708E-5"/>
    <b v="0"/>
    <b v="1"/>
    <x v="0"/>
    <n v="0.38235294117647056"/>
    <n v="0"/>
    <n v="0.22941176470588232"/>
  </r>
  <r>
    <s v="ID000493"/>
    <x v="2"/>
    <x v="2"/>
    <s v="Technova"/>
    <x v="1"/>
    <n v="8"/>
    <n v="34000"/>
    <d v="2017-10-31T00:00:00"/>
    <n v="1"/>
    <x v="1"/>
    <n v="2"/>
    <n v="5.8823529411764708E-5"/>
    <b v="0"/>
    <b v="1"/>
    <x v="0"/>
    <n v="0.38235294117647056"/>
    <n v="0"/>
    <n v="0.22941176470588232"/>
  </r>
  <r>
    <s v="ID000585"/>
    <x v="3"/>
    <x v="3"/>
    <s v="Technova"/>
    <x v="1"/>
    <n v="2"/>
    <n v="34000"/>
    <d v="2022-04-25T00:00:00"/>
    <n v="1"/>
    <x v="1"/>
    <n v="2"/>
    <n v="5.8823529411764708E-5"/>
    <b v="0"/>
    <b v="0"/>
    <x v="0"/>
    <n v="0.38235294117647056"/>
    <n v="0"/>
    <n v="0.22941176470588232"/>
  </r>
  <r>
    <s v="ID000602"/>
    <x v="3"/>
    <x v="3"/>
    <s v="Technova"/>
    <x v="1"/>
    <n v="2"/>
    <n v="34000"/>
    <d v="2011-10-15T00:00:00"/>
    <n v="1"/>
    <x v="1"/>
    <n v="2"/>
    <n v="5.8823529411764708E-5"/>
    <b v="0"/>
    <b v="0"/>
    <x v="0"/>
    <n v="0.38235294117647056"/>
    <n v="0"/>
    <n v="0.22941176470588232"/>
  </r>
  <r>
    <s v="ID000672"/>
    <x v="3"/>
    <x v="3"/>
    <s v="Dataverse"/>
    <x v="0"/>
    <n v="16"/>
    <n v="34000"/>
    <d v="2005-04-10T00:00:00"/>
    <n v="1"/>
    <x v="1"/>
    <n v="2"/>
    <n v="5.8823529411764708E-5"/>
    <b v="1"/>
    <b v="1"/>
    <x v="0"/>
    <n v="0.38235294117647056"/>
    <n v="0"/>
    <n v="0.22941176470588232"/>
  </r>
  <r>
    <s v="ID000778"/>
    <x v="1"/>
    <x v="1"/>
    <s v="Technova"/>
    <x v="1"/>
    <n v="24"/>
    <n v="17000"/>
    <d v="2015-01-20T00:00:00"/>
    <n v="1"/>
    <x v="0"/>
    <n v="1"/>
    <n v="5.8823529411764708E-5"/>
    <b v="1"/>
    <b v="1"/>
    <x v="0"/>
    <n v="0.38235294117647056"/>
    <n v="0"/>
    <n v="0.22941176470588232"/>
  </r>
  <r>
    <s v="ID000867"/>
    <x v="4"/>
    <x v="4"/>
    <s v="Dataverse"/>
    <x v="0"/>
    <n v="20"/>
    <n v="34000"/>
    <d v="2012-02-13T00:00:00"/>
    <n v="1"/>
    <x v="1"/>
    <n v="2"/>
    <n v="5.8823529411764708E-5"/>
    <b v="1"/>
    <b v="1"/>
    <x v="0"/>
    <n v="0.38235294117647056"/>
    <n v="0"/>
    <n v="0.22941176470588232"/>
  </r>
  <r>
    <s v="ID000041"/>
    <x v="0"/>
    <x v="0"/>
    <s v="Technova"/>
    <x v="1"/>
    <n v="16"/>
    <n v="21000"/>
    <d v="2008-05-18T00:00:00"/>
    <n v="2"/>
    <x v="0"/>
    <n v="1"/>
    <n v="4.761904761904762E-5"/>
    <b v="1"/>
    <b v="1"/>
    <x v="0"/>
    <n v="0.21428571428571427"/>
    <n v="0.25"/>
    <n v="0.22857142857142856"/>
  </r>
  <r>
    <s v="ID000295"/>
    <x v="6"/>
    <x v="6"/>
    <s v="Technova"/>
    <x v="1"/>
    <n v="21"/>
    <n v="42000"/>
    <d v="2024-06-15T00:00:00"/>
    <n v="2"/>
    <x v="1"/>
    <n v="2"/>
    <n v="4.761904761904762E-5"/>
    <b v="1"/>
    <b v="1"/>
    <x v="0"/>
    <n v="0.21428571428571427"/>
    <n v="0.25"/>
    <n v="0.22857142857142856"/>
  </r>
  <r>
    <s v="ID000775"/>
    <x v="3"/>
    <x v="3"/>
    <s v="Technova"/>
    <x v="1"/>
    <n v="12"/>
    <n v="42000"/>
    <d v="2011-04-17T00:00:00"/>
    <n v="2"/>
    <x v="1"/>
    <n v="2"/>
    <n v="4.761904761904762E-5"/>
    <b v="0"/>
    <b v="1"/>
    <x v="0"/>
    <n v="0.21428571428571427"/>
    <n v="0.25"/>
    <n v="0.22857142857142856"/>
  </r>
  <r>
    <s v="ID000856"/>
    <x v="3"/>
    <x v="3"/>
    <s v="Dataverse"/>
    <x v="0"/>
    <n v="10"/>
    <n v="42000"/>
    <d v="2013-02-23T00:00:00"/>
    <n v="2"/>
    <x v="1"/>
    <n v="2"/>
    <n v="4.761904761904762E-5"/>
    <b v="0"/>
    <b v="1"/>
    <x v="0"/>
    <n v="0.21428571428571427"/>
    <n v="0.25"/>
    <n v="0.22857142857142856"/>
  </r>
  <r>
    <s v="ID000907"/>
    <x v="4"/>
    <x v="4"/>
    <s v="Technova"/>
    <x v="1"/>
    <n v="5"/>
    <n v="42000"/>
    <d v="2006-01-27T00:00:00"/>
    <n v="2"/>
    <x v="1"/>
    <n v="2"/>
    <n v="4.761904761904762E-5"/>
    <b v="0"/>
    <b v="0"/>
    <x v="0"/>
    <n v="0.21428571428571427"/>
    <n v="0.25"/>
    <n v="0.22857142857142856"/>
  </r>
  <r>
    <s v="ID000944"/>
    <x v="4"/>
    <x v="4"/>
    <s v="Technova"/>
    <x v="1"/>
    <n v="16"/>
    <n v="42000"/>
    <d v="2017-12-27T00:00:00"/>
    <n v="2"/>
    <x v="1"/>
    <n v="2"/>
    <n v="4.761904761904762E-5"/>
    <b v="1"/>
    <b v="1"/>
    <x v="0"/>
    <n v="0.21428571428571427"/>
    <n v="0.25"/>
    <n v="0.22857142857142856"/>
  </r>
  <r>
    <s v="ID000132"/>
    <x v="8"/>
    <x v="8"/>
    <s v="Technova"/>
    <x v="1"/>
    <n v="5"/>
    <n v="83000"/>
    <d v="2008-06-06T00:00:00"/>
    <n v="3"/>
    <x v="2"/>
    <n v="3"/>
    <n v="3.614457831325301E-5"/>
    <b v="0"/>
    <b v="0"/>
    <x v="0"/>
    <n v="4.2168674698795129E-2"/>
    <n v="0.5"/>
    <n v="0.2253012048192771"/>
  </r>
  <r>
    <s v="ID000533"/>
    <x v="5"/>
    <x v="5"/>
    <s v="Dataverse"/>
    <x v="0"/>
    <n v="22"/>
    <n v="83000"/>
    <d v="2013-11-03T00:00:00"/>
    <n v="3"/>
    <x v="2"/>
    <n v="3"/>
    <n v="3.614457831325301E-5"/>
    <b v="1"/>
    <b v="1"/>
    <x v="0"/>
    <n v="4.2168674698795129E-2"/>
    <n v="0.5"/>
    <n v="0.2253012048192771"/>
  </r>
  <r>
    <s v="ID000055"/>
    <x v="8"/>
    <x v="8"/>
    <s v="Dataverse"/>
    <x v="0"/>
    <n v="12"/>
    <n v="64000"/>
    <d v="2019-06-27T00:00:00"/>
    <n v="2"/>
    <x v="2"/>
    <n v="3"/>
    <n v="4.6875000000000001E-5"/>
    <b v="0"/>
    <b v="1"/>
    <x v="0"/>
    <n v="0.20312499999999997"/>
    <n v="0.25"/>
    <n v="0.22187499999999999"/>
  </r>
  <r>
    <s v="ID000535"/>
    <x v="5"/>
    <x v="5"/>
    <s v="Dataverse"/>
    <x v="0"/>
    <n v="11"/>
    <n v="84000"/>
    <d v="2010-03-15T00:00:00"/>
    <n v="3"/>
    <x v="2"/>
    <n v="3"/>
    <n v="3.5714285714285717E-5"/>
    <b v="0"/>
    <b v="1"/>
    <x v="0"/>
    <n v="3.5714285714285726E-2"/>
    <n v="0.5"/>
    <n v="0.22142857142857145"/>
  </r>
  <r>
    <s v="ID000634"/>
    <x v="5"/>
    <x v="5"/>
    <s v="Dataverse"/>
    <x v="0"/>
    <n v="1"/>
    <n v="84000"/>
    <d v="2012-12-05T00:00:00"/>
    <n v="3"/>
    <x v="2"/>
    <n v="3"/>
    <n v="3.5714285714285717E-5"/>
    <b v="0"/>
    <b v="0"/>
    <x v="0"/>
    <n v="3.5714285714285726E-2"/>
    <n v="0.5"/>
    <n v="0.22142857142857145"/>
  </r>
  <r>
    <s v="ID000700"/>
    <x v="5"/>
    <x v="5"/>
    <s v="Technova"/>
    <x v="1"/>
    <n v="16"/>
    <n v="84000"/>
    <d v="2013-01-03T00:00:00"/>
    <n v="3"/>
    <x v="2"/>
    <n v="3"/>
    <n v="3.5714285714285717E-5"/>
    <b v="1"/>
    <b v="1"/>
    <x v="0"/>
    <n v="3.5714285714285726E-2"/>
    <n v="0.5"/>
    <n v="0.22142857142857145"/>
  </r>
  <r>
    <s v="ID000033"/>
    <x v="5"/>
    <x v="5"/>
    <s v="Technova"/>
    <x v="1"/>
    <n v="17"/>
    <n v="43000"/>
    <d v="2015-09-20T00:00:00"/>
    <n v="2"/>
    <x v="1"/>
    <n v="2"/>
    <n v="4.6511627906976741E-5"/>
    <b v="1"/>
    <b v="1"/>
    <x v="0"/>
    <n v="0.1976744186046511"/>
    <n v="0.25"/>
    <n v="0.21860465116279065"/>
  </r>
  <r>
    <s v="ID000440"/>
    <x v="2"/>
    <x v="2"/>
    <s v="Technova"/>
    <x v="1"/>
    <n v="4"/>
    <n v="43000"/>
    <d v="2014-05-13T00:00:00"/>
    <n v="2"/>
    <x v="1"/>
    <n v="2"/>
    <n v="4.6511627906976741E-5"/>
    <b v="0"/>
    <b v="0"/>
    <x v="0"/>
    <n v="0.1976744186046511"/>
    <n v="0.25"/>
    <n v="0.21860465116279065"/>
  </r>
  <r>
    <s v="ID000710"/>
    <x v="3"/>
    <x v="3"/>
    <s v="Technova"/>
    <x v="1"/>
    <n v="12"/>
    <n v="43000"/>
    <d v="2014-12-24T00:00:00"/>
    <n v="2"/>
    <x v="1"/>
    <n v="2"/>
    <n v="4.6511627906976741E-5"/>
    <b v="0"/>
    <b v="1"/>
    <x v="0"/>
    <n v="0.1976744186046511"/>
    <n v="0.25"/>
    <n v="0.21860465116279065"/>
  </r>
  <r>
    <s v="ID000729"/>
    <x v="3"/>
    <x v="3"/>
    <s v="Technova"/>
    <x v="1"/>
    <n v="2"/>
    <n v="43000"/>
    <d v="2017-06-05T00:00:00"/>
    <n v="2"/>
    <x v="1"/>
    <n v="2"/>
    <n v="4.6511627906976741E-5"/>
    <b v="0"/>
    <b v="0"/>
    <x v="0"/>
    <n v="0.1976744186046511"/>
    <n v="0.25"/>
    <n v="0.21860465116279065"/>
  </r>
  <r>
    <s v="ID000864"/>
    <x v="3"/>
    <x v="3"/>
    <s v="Dataverse"/>
    <x v="0"/>
    <n v="4"/>
    <n v="43000"/>
    <d v="2019-08-14T00:00:00"/>
    <n v="2"/>
    <x v="1"/>
    <n v="2"/>
    <n v="4.6511627906976741E-5"/>
    <b v="0"/>
    <b v="0"/>
    <x v="0"/>
    <n v="0.1976744186046511"/>
    <n v="0.25"/>
    <n v="0.21860465116279065"/>
  </r>
  <r>
    <s v="ID000974"/>
    <x v="4"/>
    <x v="4"/>
    <s v="Dataverse"/>
    <x v="0"/>
    <n v="19"/>
    <n v="43000"/>
    <d v="2005-02-04T00:00:00"/>
    <n v="2"/>
    <x v="1"/>
    <n v="2"/>
    <n v="4.6511627906976741E-5"/>
    <b v="1"/>
    <b v="1"/>
    <x v="0"/>
    <n v="0.1976744186046511"/>
    <n v="0.25"/>
    <n v="0.21860465116279065"/>
  </r>
  <r>
    <s v="ID000053"/>
    <x v="8"/>
    <x v="8"/>
    <s v="Dataverse"/>
    <x v="0"/>
    <n v="1"/>
    <n v="85000"/>
    <d v="2022-01-18T00:00:00"/>
    <n v="3"/>
    <x v="2"/>
    <n v="3"/>
    <n v="3.529411764705882E-5"/>
    <b v="0"/>
    <b v="0"/>
    <x v="0"/>
    <n v="2.941176470588228E-2"/>
    <n v="0.5"/>
    <n v="0.21764705882352939"/>
  </r>
  <r>
    <s v="ID000366"/>
    <x v="9"/>
    <x v="9"/>
    <s v="Technova"/>
    <x v="1"/>
    <n v="25"/>
    <n v="65000"/>
    <d v="2012-04-02T00:00:00"/>
    <n v="2"/>
    <x v="2"/>
    <n v="3"/>
    <n v="4.6153846153846151E-5"/>
    <b v="1"/>
    <b v="1"/>
    <x v="0"/>
    <n v="0.19230769230769224"/>
    <n v="0.25"/>
    <n v="0.21538461538461534"/>
  </r>
  <r>
    <s v="ID000413"/>
    <x v="9"/>
    <x v="9"/>
    <s v="Technova"/>
    <x v="1"/>
    <n v="2"/>
    <n v="65000"/>
    <d v="2011-07-30T00:00:00"/>
    <n v="2"/>
    <x v="2"/>
    <n v="3"/>
    <n v="4.6153846153846151E-5"/>
    <b v="0"/>
    <b v="0"/>
    <x v="0"/>
    <n v="0.19230769230769224"/>
    <n v="0.25"/>
    <n v="0.21538461538461534"/>
  </r>
  <r>
    <s v="ID000026"/>
    <x v="5"/>
    <x v="5"/>
    <s v="Technova"/>
    <x v="1"/>
    <n v="23"/>
    <n v="35000"/>
    <d v="2018-05-14T00:00:00"/>
    <n v="1"/>
    <x v="1"/>
    <n v="2"/>
    <n v="5.7142857142857142E-5"/>
    <b v="1"/>
    <b v="1"/>
    <x v="0"/>
    <n v="0.3571428571428571"/>
    <n v="0"/>
    <n v="0.21428571428571425"/>
  </r>
  <r>
    <s v="ID000085"/>
    <x v="7"/>
    <x v="7"/>
    <s v="Dataverse"/>
    <x v="0"/>
    <n v="18"/>
    <n v="35000"/>
    <d v="2022-10-02T00:00:00"/>
    <n v="1"/>
    <x v="1"/>
    <n v="2"/>
    <n v="5.7142857142857142E-5"/>
    <b v="1"/>
    <b v="1"/>
    <x v="0"/>
    <n v="0.3571428571428571"/>
    <n v="0"/>
    <n v="0.21428571428571425"/>
  </r>
  <r>
    <s v="ID000207"/>
    <x v="7"/>
    <x v="7"/>
    <s v="Dataverse"/>
    <x v="0"/>
    <n v="14"/>
    <n v="35000"/>
    <d v="2017-12-23T00:00:00"/>
    <n v="1"/>
    <x v="1"/>
    <n v="2"/>
    <n v="5.7142857142857142E-5"/>
    <b v="0"/>
    <b v="1"/>
    <x v="0"/>
    <n v="0.3571428571428571"/>
    <n v="0"/>
    <n v="0.21428571428571425"/>
  </r>
  <r>
    <s v="ID000816"/>
    <x v="3"/>
    <x v="3"/>
    <s v="Dataverse"/>
    <x v="0"/>
    <n v="2"/>
    <n v="35000"/>
    <d v="2013-11-30T00:00:00"/>
    <n v="1"/>
    <x v="1"/>
    <n v="2"/>
    <n v="5.7142857142857142E-5"/>
    <b v="0"/>
    <b v="0"/>
    <x v="0"/>
    <n v="0.3571428571428571"/>
    <n v="0"/>
    <n v="0.21428571428571425"/>
  </r>
  <r>
    <s v="ID000127"/>
    <x v="8"/>
    <x v="8"/>
    <s v="Technova"/>
    <x v="1"/>
    <n v="11"/>
    <n v="86000"/>
    <d v="2022-04-30T00:00:00"/>
    <n v="3"/>
    <x v="2"/>
    <n v="3"/>
    <n v="3.4883720930232556E-5"/>
    <b v="0"/>
    <b v="1"/>
    <x v="0"/>
    <n v="2.3255813953488316E-2"/>
    <n v="0.5"/>
    <n v="0.21395348837209299"/>
  </r>
  <r>
    <s v="ID000362"/>
    <x v="0"/>
    <x v="0"/>
    <s v="Dataverse"/>
    <x v="0"/>
    <n v="4"/>
    <n v="29000"/>
    <d v="2018-01-15T00:00:00"/>
    <n v="3"/>
    <x v="0"/>
    <n v="1"/>
    <n v="3.4482758620689657E-5"/>
    <b v="0"/>
    <b v="0"/>
    <x v="0"/>
    <n v="1.7241379310344824E-2"/>
    <n v="0.5"/>
    <n v="0.2103448275862069"/>
  </r>
  <r>
    <s v="ID000884"/>
    <x v="1"/>
    <x v="1"/>
    <s v="Dataverse"/>
    <x v="0"/>
    <n v="25"/>
    <n v="29000"/>
    <d v="2017-03-01T00:00:00"/>
    <n v="3"/>
    <x v="0"/>
    <n v="1"/>
    <n v="3.4482758620689657E-5"/>
    <b v="1"/>
    <b v="1"/>
    <x v="0"/>
    <n v="1.7241379310344824E-2"/>
    <n v="0.5"/>
    <n v="0.2103448275862069"/>
  </r>
  <r>
    <s v="ID000063"/>
    <x v="5"/>
    <x v="5"/>
    <s v="Dataverse"/>
    <x v="0"/>
    <n v="6"/>
    <n v="44000"/>
    <d v="2011-10-18T00:00:00"/>
    <n v="2"/>
    <x v="1"/>
    <n v="2"/>
    <n v="4.5454545454545452E-5"/>
    <b v="0"/>
    <b v="1"/>
    <x v="0"/>
    <n v="0.18181818181818174"/>
    <n v="0.25"/>
    <n v="0.20909090909090905"/>
  </r>
  <r>
    <s v="ID000218"/>
    <x v="7"/>
    <x v="7"/>
    <s v="Dataverse"/>
    <x v="0"/>
    <n v="14"/>
    <n v="44000"/>
    <d v="2018-07-31T00:00:00"/>
    <n v="2"/>
    <x v="1"/>
    <n v="2"/>
    <n v="4.5454545454545452E-5"/>
    <b v="0"/>
    <b v="1"/>
    <x v="0"/>
    <n v="0.18181818181818174"/>
    <n v="0.25"/>
    <n v="0.20909090909090905"/>
  </r>
  <r>
    <s v="ID000266"/>
    <x v="6"/>
    <x v="6"/>
    <s v="Technova"/>
    <x v="1"/>
    <n v="14"/>
    <n v="44000"/>
    <d v="2006-07-07T00:00:00"/>
    <n v="2"/>
    <x v="1"/>
    <n v="2"/>
    <n v="4.5454545454545452E-5"/>
    <b v="0"/>
    <b v="1"/>
    <x v="0"/>
    <n v="0.18181818181818174"/>
    <n v="0.25"/>
    <n v="0.20909090909090905"/>
  </r>
  <r>
    <s v="ID000610"/>
    <x v="3"/>
    <x v="3"/>
    <s v="Technova"/>
    <x v="1"/>
    <n v="5"/>
    <n v="44000"/>
    <d v="2010-07-13T00:00:00"/>
    <n v="2"/>
    <x v="1"/>
    <n v="2"/>
    <n v="4.5454545454545452E-5"/>
    <b v="0"/>
    <b v="0"/>
    <x v="0"/>
    <n v="0.18181818181818174"/>
    <n v="0.25"/>
    <n v="0.20909090909090905"/>
  </r>
  <r>
    <s v="ID000660"/>
    <x v="3"/>
    <x v="3"/>
    <s v="Dataverse"/>
    <x v="0"/>
    <n v="2"/>
    <n v="44000"/>
    <d v="2018-10-11T00:00:00"/>
    <n v="2"/>
    <x v="1"/>
    <n v="2"/>
    <n v="4.5454545454545452E-5"/>
    <b v="0"/>
    <b v="0"/>
    <x v="0"/>
    <n v="0.18181818181818174"/>
    <n v="0.25"/>
    <n v="0.20909090909090905"/>
  </r>
  <r>
    <s v="ID000661"/>
    <x v="3"/>
    <x v="3"/>
    <s v="Dataverse"/>
    <x v="0"/>
    <n v="9"/>
    <n v="44000"/>
    <d v="2005-10-17T00:00:00"/>
    <n v="2"/>
    <x v="1"/>
    <n v="2"/>
    <n v="4.5454545454545452E-5"/>
    <b v="0"/>
    <b v="1"/>
    <x v="0"/>
    <n v="0.18181818181818174"/>
    <n v="0.25"/>
    <n v="0.20909090909090905"/>
  </r>
  <r>
    <s v="ID000714"/>
    <x v="3"/>
    <x v="3"/>
    <s v="Technova"/>
    <x v="1"/>
    <n v="4"/>
    <n v="44000"/>
    <d v="2009-10-13T00:00:00"/>
    <n v="2"/>
    <x v="1"/>
    <n v="2"/>
    <n v="4.5454545454545452E-5"/>
    <b v="0"/>
    <b v="0"/>
    <x v="0"/>
    <n v="0.18181818181818174"/>
    <n v="0.25"/>
    <n v="0.20909090909090905"/>
  </r>
  <r>
    <s v="ID000766"/>
    <x v="3"/>
    <x v="3"/>
    <s v="Technova"/>
    <x v="1"/>
    <n v="13"/>
    <n v="44000"/>
    <d v="2020-03-15T00:00:00"/>
    <n v="2"/>
    <x v="1"/>
    <n v="2"/>
    <n v="4.5454545454545452E-5"/>
    <b v="0"/>
    <b v="1"/>
    <x v="0"/>
    <n v="0.18181818181818174"/>
    <n v="0.25"/>
    <n v="0.20909090909090905"/>
  </r>
  <r>
    <s v="ID000992"/>
    <x v="1"/>
    <x v="1"/>
    <s v="Dataverse"/>
    <x v="0"/>
    <n v="8"/>
    <n v="22000"/>
    <d v="2018-04-29T00:00:00"/>
    <n v="2"/>
    <x v="0"/>
    <n v="1"/>
    <n v="4.5454545454545452E-5"/>
    <b v="0"/>
    <b v="1"/>
    <x v="0"/>
    <n v="0.18181818181818174"/>
    <n v="0.25"/>
    <n v="0.20909090909090905"/>
  </r>
  <r>
    <s v="ID000485"/>
    <x v="9"/>
    <x v="9"/>
    <s v="Technova"/>
    <x v="1"/>
    <n v="11"/>
    <n v="89000"/>
    <d v="2009-03-02T00:00:00"/>
    <n v="3"/>
    <x v="2"/>
    <n v="3"/>
    <n v="3.3707865168539323E-5"/>
    <b v="0"/>
    <b v="1"/>
    <x v="0"/>
    <n v="5.6179775280898224E-3"/>
    <n v="0.5"/>
    <n v="0.20337078651685389"/>
  </r>
  <r>
    <s v="ID000694"/>
    <x v="5"/>
    <x v="5"/>
    <s v="Technova"/>
    <x v="1"/>
    <n v="11"/>
    <n v="89000"/>
    <d v="2006-05-10T00:00:00"/>
    <n v="3"/>
    <x v="2"/>
    <n v="3"/>
    <n v="3.3707865168539323E-5"/>
    <b v="0"/>
    <b v="1"/>
    <x v="0"/>
    <n v="5.6179775280898224E-3"/>
    <n v="0.5"/>
    <n v="0.20337078651685389"/>
  </r>
  <r>
    <s v="ID000258"/>
    <x v="9"/>
    <x v="9"/>
    <s v="Technova"/>
    <x v="1"/>
    <n v="17"/>
    <n v="67000"/>
    <d v="2010-12-20T00:00:00"/>
    <n v="2"/>
    <x v="2"/>
    <n v="3"/>
    <n v="4.4776119402985078E-5"/>
    <b v="1"/>
    <b v="1"/>
    <x v="0"/>
    <n v="0.17164179104477614"/>
    <n v="0.25"/>
    <n v="0.20298507462686569"/>
  </r>
  <r>
    <s v="ID000011"/>
    <x v="5"/>
    <x v="5"/>
    <s v="Technova"/>
    <x v="1"/>
    <n v="18"/>
    <n v="45000"/>
    <d v="2020-09-01T00:00:00"/>
    <n v="2"/>
    <x v="1"/>
    <n v="2"/>
    <n v="4.4444444444444447E-5"/>
    <b v="1"/>
    <b v="1"/>
    <x v="0"/>
    <n v="0.16666666666666666"/>
    <n v="0.25"/>
    <n v="0.2"/>
  </r>
  <r>
    <s v="ID000187"/>
    <x v="0"/>
    <x v="0"/>
    <s v="Technova"/>
    <x v="1"/>
    <n v="16"/>
    <n v="30000"/>
    <d v="2018-03-10T00:00:00"/>
    <n v="3"/>
    <x v="0"/>
    <n v="1"/>
    <n v="3.3333333333333335E-5"/>
    <b v="1"/>
    <b v="1"/>
    <x v="0"/>
    <n v="0"/>
    <n v="0.5"/>
    <n v="0.2"/>
  </r>
  <r>
    <s v="ID000382"/>
    <x v="2"/>
    <x v="2"/>
    <s v="Technova"/>
    <x v="1"/>
    <n v="16"/>
    <n v="45000"/>
    <d v="2016-12-29T00:00:00"/>
    <n v="2"/>
    <x v="1"/>
    <n v="2"/>
    <n v="4.4444444444444447E-5"/>
    <b v="1"/>
    <b v="1"/>
    <x v="0"/>
    <n v="0.16666666666666666"/>
    <n v="0.25"/>
    <n v="0.2"/>
  </r>
  <r>
    <s v="ID000407"/>
    <x v="2"/>
    <x v="2"/>
    <s v="Dataverse"/>
    <x v="0"/>
    <n v="20"/>
    <n v="45000"/>
    <d v="2008-03-08T00:00:00"/>
    <n v="2"/>
    <x v="1"/>
    <n v="2"/>
    <n v="4.4444444444444447E-5"/>
    <b v="1"/>
    <b v="1"/>
    <x v="0"/>
    <n v="0.16666666666666666"/>
    <n v="0.25"/>
    <n v="0.2"/>
  </r>
  <r>
    <s v="ID000421"/>
    <x v="2"/>
    <x v="2"/>
    <s v="Technova"/>
    <x v="1"/>
    <n v="3"/>
    <n v="45000"/>
    <d v="2007-04-13T00:00:00"/>
    <n v="2"/>
    <x v="1"/>
    <n v="2"/>
    <n v="4.4444444444444447E-5"/>
    <b v="0"/>
    <b v="0"/>
    <x v="0"/>
    <n v="0.16666666666666666"/>
    <n v="0.25"/>
    <n v="0.2"/>
  </r>
  <r>
    <s v="ID000580"/>
    <x v="5"/>
    <x v="5"/>
    <s v="Technova"/>
    <x v="1"/>
    <n v="15"/>
    <n v="90000"/>
    <d v="2007-01-07T00:00:00"/>
    <n v="3"/>
    <x v="2"/>
    <n v="3"/>
    <n v="3.3333333333333335E-5"/>
    <b v="0"/>
    <b v="1"/>
    <x v="0"/>
    <n v="0"/>
    <n v="0.5"/>
    <n v="0.2"/>
  </r>
  <r>
    <s v="ID000866"/>
    <x v="3"/>
    <x v="3"/>
    <s v="Dataverse"/>
    <x v="0"/>
    <n v="16"/>
    <n v="45000"/>
    <d v="2022-01-10T00:00:00"/>
    <n v="2"/>
    <x v="1"/>
    <n v="2"/>
    <n v="4.4444444444444447E-5"/>
    <b v="1"/>
    <b v="1"/>
    <x v="0"/>
    <n v="0.16666666666666666"/>
    <n v="0.25"/>
    <n v="0.2"/>
  </r>
  <r>
    <s v="ID000890"/>
    <x v="1"/>
    <x v="1"/>
    <s v="Dataverse"/>
    <x v="0"/>
    <n v="12"/>
    <n v="30000"/>
    <d v="2018-10-01T00:00:00"/>
    <n v="3"/>
    <x v="0"/>
    <n v="1"/>
    <n v="3.3333333333333335E-5"/>
    <b v="0"/>
    <b v="1"/>
    <x v="0"/>
    <n v="0"/>
    <n v="0.5"/>
    <n v="0.2"/>
  </r>
  <r>
    <s v="ID000064"/>
    <x v="5"/>
    <x v="5"/>
    <s v="Dataverse"/>
    <x v="0"/>
    <n v="11"/>
    <n v="36000"/>
    <d v="2020-02-01T00:00:00"/>
    <n v="1"/>
    <x v="1"/>
    <n v="2"/>
    <n v="5.5555555555555558E-5"/>
    <b v="0"/>
    <b v="1"/>
    <x v="0"/>
    <n v="0.33333333333333331"/>
    <n v="0"/>
    <n v="0.19999999999999998"/>
  </r>
  <r>
    <s v="ID000426"/>
    <x v="2"/>
    <x v="2"/>
    <s v="Technova"/>
    <x v="1"/>
    <n v="19"/>
    <n v="36000"/>
    <d v="2004-09-28T00:00:00"/>
    <n v="1"/>
    <x v="1"/>
    <n v="2"/>
    <n v="5.5555555555555558E-5"/>
    <b v="1"/>
    <b v="1"/>
    <x v="0"/>
    <n v="0.33333333333333331"/>
    <n v="0"/>
    <n v="0.19999999999999998"/>
  </r>
  <r>
    <s v="ID000590"/>
    <x v="3"/>
    <x v="3"/>
    <s v="Technova"/>
    <x v="1"/>
    <n v="6"/>
    <n v="36000"/>
    <d v="2018-03-16T00:00:00"/>
    <n v="1"/>
    <x v="1"/>
    <n v="2"/>
    <n v="5.5555555555555558E-5"/>
    <b v="0"/>
    <b v="1"/>
    <x v="0"/>
    <n v="0.33333333333333331"/>
    <n v="0"/>
    <n v="0.19999999999999998"/>
  </r>
  <r>
    <s v="ID000619"/>
    <x v="1"/>
    <x v="1"/>
    <s v="Technova"/>
    <x v="1"/>
    <n v="9"/>
    <n v="18000"/>
    <d v="2010-07-30T00:00:00"/>
    <n v="1"/>
    <x v="0"/>
    <n v="1"/>
    <n v="5.5555555555555558E-5"/>
    <b v="0"/>
    <b v="1"/>
    <x v="0"/>
    <n v="0.33333333333333331"/>
    <n v="0"/>
    <n v="0.19999999999999998"/>
  </r>
  <r>
    <s v="ID000666"/>
    <x v="3"/>
    <x v="3"/>
    <s v="Dataverse"/>
    <x v="0"/>
    <n v="7"/>
    <n v="36000"/>
    <d v="2007-03-30T00:00:00"/>
    <n v="1"/>
    <x v="1"/>
    <n v="2"/>
    <n v="5.5555555555555558E-5"/>
    <b v="0"/>
    <b v="1"/>
    <x v="0"/>
    <n v="0.33333333333333331"/>
    <n v="0"/>
    <n v="0.19999999999999998"/>
  </r>
  <r>
    <s v="ID000734"/>
    <x v="3"/>
    <x v="3"/>
    <s v="Technova"/>
    <x v="1"/>
    <n v="12"/>
    <n v="36000"/>
    <d v="2005-10-30T00:00:00"/>
    <n v="1"/>
    <x v="1"/>
    <n v="2"/>
    <n v="5.5555555555555558E-5"/>
    <b v="0"/>
    <b v="1"/>
    <x v="0"/>
    <n v="0.33333333333333331"/>
    <n v="0"/>
    <n v="0.19999999999999998"/>
  </r>
  <r>
    <s v="ID000963"/>
    <x v="1"/>
    <x v="1"/>
    <s v="Technova"/>
    <x v="1"/>
    <n v="25"/>
    <n v="18000"/>
    <d v="2014-10-18T00:00:00"/>
    <n v="1"/>
    <x v="0"/>
    <n v="1"/>
    <n v="5.5555555555555558E-5"/>
    <b v="1"/>
    <b v="1"/>
    <x v="0"/>
    <n v="0.33333333333333331"/>
    <n v="0"/>
    <n v="0.19999999999999998"/>
  </r>
  <r>
    <s v="ID000708"/>
    <x v="5"/>
    <x v="5"/>
    <s v="Technova"/>
    <x v="1"/>
    <n v="15"/>
    <n v="68000"/>
    <d v="2007-07-06T00:00:00"/>
    <n v="2"/>
    <x v="2"/>
    <n v="3"/>
    <n v="4.4117647058823532E-5"/>
    <b v="0"/>
    <b v="1"/>
    <x v="0"/>
    <n v="0.16176470588235295"/>
    <n v="0.25"/>
    <n v="0.19705882352941179"/>
  </r>
  <r>
    <s v="ID000062"/>
    <x v="5"/>
    <x v="5"/>
    <s v="Dataverse"/>
    <x v="0"/>
    <n v="16"/>
    <n v="46000"/>
    <d v="2009-03-15T00:00:00"/>
    <n v="2"/>
    <x v="1"/>
    <n v="2"/>
    <n v="4.347826086956522E-5"/>
    <b v="1"/>
    <b v="1"/>
    <x v="1"/>
    <n v="0.15217391304347827"/>
    <n v="0.25"/>
    <n v="0.19130434782608696"/>
  </r>
  <r>
    <s v="ID000071"/>
    <x v="5"/>
    <x v="5"/>
    <s v="Dataverse"/>
    <x v="0"/>
    <n v="14"/>
    <n v="46000"/>
    <d v="2017-09-26T00:00:00"/>
    <n v="2"/>
    <x v="1"/>
    <n v="2"/>
    <n v="4.347826086956522E-5"/>
    <b v="0"/>
    <b v="1"/>
    <x v="1"/>
    <n v="0.15217391304347827"/>
    <n v="0.25"/>
    <n v="0.19130434782608696"/>
  </r>
  <r>
    <s v="ID000303"/>
    <x v="6"/>
    <x v="6"/>
    <s v="Technova"/>
    <x v="1"/>
    <n v="14"/>
    <n v="46000"/>
    <d v="2014-02-04T00:00:00"/>
    <n v="2"/>
    <x v="1"/>
    <n v="2"/>
    <n v="4.347826086956522E-5"/>
    <b v="0"/>
    <b v="1"/>
    <x v="1"/>
    <n v="0.15217391304347827"/>
    <n v="0.25"/>
    <n v="0.19130434782608696"/>
  </r>
  <r>
    <s v="ID000384"/>
    <x v="2"/>
    <x v="2"/>
    <s v="Technova"/>
    <x v="1"/>
    <n v="17"/>
    <n v="46000"/>
    <d v="2017-04-11T00:00:00"/>
    <n v="2"/>
    <x v="1"/>
    <n v="2"/>
    <n v="4.347826086956522E-5"/>
    <b v="1"/>
    <b v="1"/>
    <x v="1"/>
    <n v="0.15217391304347827"/>
    <n v="0.25"/>
    <n v="0.19130434782608696"/>
  </r>
  <r>
    <s v="ID000394"/>
    <x v="0"/>
    <x v="0"/>
    <s v="Technova"/>
    <x v="1"/>
    <n v="6"/>
    <n v="23000"/>
    <d v="2009-07-12T00:00:00"/>
    <n v="2"/>
    <x v="0"/>
    <n v="1"/>
    <n v="4.347826086956522E-5"/>
    <b v="0"/>
    <b v="1"/>
    <x v="1"/>
    <n v="0.15217391304347827"/>
    <n v="0.25"/>
    <n v="0.19130434782608696"/>
  </r>
  <r>
    <s v="ID000395"/>
    <x v="0"/>
    <x v="0"/>
    <s v="Technova"/>
    <x v="1"/>
    <n v="4"/>
    <n v="23000"/>
    <d v="2012-10-06T00:00:00"/>
    <n v="2"/>
    <x v="0"/>
    <n v="1"/>
    <n v="4.347826086956522E-5"/>
    <b v="0"/>
    <b v="0"/>
    <x v="1"/>
    <n v="0.15217391304347827"/>
    <n v="0.25"/>
    <n v="0.19130434782608696"/>
  </r>
  <r>
    <s v="ID000657"/>
    <x v="3"/>
    <x v="3"/>
    <s v="Dataverse"/>
    <x v="0"/>
    <n v="3"/>
    <n v="46000"/>
    <d v="2005-05-27T00:00:00"/>
    <n v="2"/>
    <x v="1"/>
    <n v="2"/>
    <n v="4.347826086956522E-5"/>
    <b v="0"/>
    <b v="0"/>
    <x v="1"/>
    <n v="0.15217391304347827"/>
    <n v="0.25"/>
    <n v="0.19130434782608696"/>
  </r>
  <r>
    <s v="ID000818"/>
    <x v="3"/>
    <x v="3"/>
    <s v="Dataverse"/>
    <x v="0"/>
    <n v="17"/>
    <n v="46000"/>
    <d v="2009-12-26T00:00:00"/>
    <n v="2"/>
    <x v="1"/>
    <n v="2"/>
    <n v="4.347826086956522E-5"/>
    <b v="1"/>
    <b v="1"/>
    <x v="1"/>
    <n v="0.15217391304347827"/>
    <n v="0.25"/>
    <n v="0.19130434782608696"/>
  </r>
  <r>
    <s v="ID000859"/>
    <x v="3"/>
    <x v="3"/>
    <s v="Dataverse"/>
    <x v="0"/>
    <n v="2"/>
    <n v="46000"/>
    <d v="2024-05-12T00:00:00"/>
    <n v="2"/>
    <x v="1"/>
    <n v="2"/>
    <n v="4.347826086956522E-5"/>
    <b v="0"/>
    <b v="0"/>
    <x v="1"/>
    <n v="0.15217391304347827"/>
    <n v="0.25"/>
    <n v="0.19130434782608696"/>
  </r>
  <r>
    <s v="ID000914"/>
    <x v="1"/>
    <x v="1"/>
    <s v="Technova"/>
    <x v="1"/>
    <n v="18"/>
    <n v="23000"/>
    <d v="2017-01-18T00:00:00"/>
    <n v="2"/>
    <x v="0"/>
    <n v="1"/>
    <n v="4.347826086956522E-5"/>
    <b v="1"/>
    <b v="1"/>
    <x v="1"/>
    <n v="0.15217391304347827"/>
    <n v="0.25"/>
    <n v="0.19130434782608696"/>
  </r>
  <r>
    <s v="ID000957"/>
    <x v="4"/>
    <x v="4"/>
    <s v="Technova"/>
    <x v="1"/>
    <n v="8"/>
    <n v="46000"/>
    <d v="2015-11-10T00:00:00"/>
    <n v="2"/>
    <x v="1"/>
    <n v="2"/>
    <n v="4.347826086956522E-5"/>
    <b v="0"/>
    <b v="1"/>
    <x v="1"/>
    <n v="0.15217391304347827"/>
    <n v="0.25"/>
    <n v="0.19130434782608696"/>
  </r>
  <r>
    <s v="ID000988"/>
    <x v="4"/>
    <x v="4"/>
    <s v="Dataverse"/>
    <x v="0"/>
    <n v="3"/>
    <n v="46000"/>
    <d v="2011-07-05T00:00:00"/>
    <n v="2"/>
    <x v="1"/>
    <n v="2"/>
    <n v="4.347826086956522E-5"/>
    <b v="0"/>
    <b v="0"/>
    <x v="1"/>
    <n v="0.15217391304347827"/>
    <n v="0.25"/>
    <n v="0.19130434782608696"/>
  </r>
  <r>
    <s v="ID000372"/>
    <x v="2"/>
    <x v="2"/>
    <s v="Technova"/>
    <x v="1"/>
    <n v="7"/>
    <n v="37000"/>
    <d v="2006-01-17T00:00:00"/>
    <n v="1"/>
    <x v="1"/>
    <n v="2"/>
    <n v="5.4054054054054054E-5"/>
    <b v="0"/>
    <b v="1"/>
    <x v="1"/>
    <n v="0.31081081081081074"/>
    <n v="0"/>
    <n v="0.18648648648648644"/>
  </r>
  <r>
    <s v="ID000826"/>
    <x v="3"/>
    <x v="3"/>
    <s v="Dataverse"/>
    <x v="0"/>
    <n v="1"/>
    <n v="37000"/>
    <d v="2019-09-24T00:00:00"/>
    <n v="1"/>
    <x v="1"/>
    <n v="2"/>
    <n v="5.4054054054054054E-5"/>
    <b v="0"/>
    <b v="0"/>
    <x v="1"/>
    <n v="0.31081081081081074"/>
    <n v="0"/>
    <n v="0.18648648648648644"/>
  </r>
  <r>
    <s v="ID000868"/>
    <x v="4"/>
    <x v="4"/>
    <s v="Dataverse"/>
    <x v="0"/>
    <n v="4"/>
    <n v="37000"/>
    <d v="2017-09-06T00:00:00"/>
    <n v="1"/>
    <x v="1"/>
    <n v="2"/>
    <n v="5.4054054054054054E-5"/>
    <b v="0"/>
    <b v="0"/>
    <x v="1"/>
    <n v="0.31081081081081074"/>
    <n v="0"/>
    <n v="0.18648648648648644"/>
  </r>
  <r>
    <s v="ID000087"/>
    <x v="7"/>
    <x v="7"/>
    <s v="Dataverse"/>
    <x v="0"/>
    <n v="16"/>
    <n v="47000"/>
    <d v="2019-06-03T00:00:00"/>
    <n v="2"/>
    <x v="1"/>
    <n v="2"/>
    <n v="4.2553191489361704E-5"/>
    <b v="1"/>
    <b v="1"/>
    <x v="1"/>
    <n v="0.13829787234042554"/>
    <n v="0.25"/>
    <n v="0.18297872340425531"/>
  </r>
  <r>
    <s v="ID000353"/>
    <x v="2"/>
    <x v="2"/>
    <s v="Dataverse"/>
    <x v="0"/>
    <n v="2"/>
    <n v="47000"/>
    <d v="2022-01-20T00:00:00"/>
    <n v="2"/>
    <x v="1"/>
    <n v="2"/>
    <n v="4.2553191489361704E-5"/>
    <b v="0"/>
    <b v="0"/>
    <x v="1"/>
    <n v="0.13829787234042554"/>
    <n v="0.25"/>
    <n v="0.18297872340425531"/>
  </r>
  <r>
    <s v="ID000356"/>
    <x v="2"/>
    <x v="2"/>
    <s v="Dataverse"/>
    <x v="0"/>
    <n v="6"/>
    <n v="47000"/>
    <d v="2005-08-27T00:00:00"/>
    <n v="2"/>
    <x v="1"/>
    <n v="2"/>
    <n v="4.2553191489361704E-5"/>
    <b v="0"/>
    <b v="1"/>
    <x v="1"/>
    <n v="0.13829787234042554"/>
    <n v="0.25"/>
    <n v="0.18297872340425531"/>
  </r>
  <r>
    <s v="ID000721"/>
    <x v="3"/>
    <x v="3"/>
    <s v="Technova"/>
    <x v="1"/>
    <n v="14"/>
    <n v="47000"/>
    <d v="2006-10-22T00:00:00"/>
    <n v="2"/>
    <x v="1"/>
    <n v="2"/>
    <n v="4.2553191489361704E-5"/>
    <b v="0"/>
    <b v="1"/>
    <x v="1"/>
    <n v="0.13829787234042554"/>
    <n v="0.25"/>
    <n v="0.18297872340425531"/>
  </r>
  <r>
    <s v="ID000412"/>
    <x v="9"/>
    <x v="9"/>
    <s v="Technova"/>
    <x v="1"/>
    <n v="6"/>
    <n v="71000"/>
    <d v="2012-04-26T00:00:00"/>
    <n v="2"/>
    <x v="2"/>
    <n v="3"/>
    <n v="4.2253521126760563E-5"/>
    <b v="0"/>
    <b v="1"/>
    <x v="1"/>
    <n v="0.13380281690140841"/>
    <n v="0.25"/>
    <n v="0.18028169014084505"/>
  </r>
  <r>
    <s v="ID000483"/>
    <x v="9"/>
    <x v="9"/>
    <s v="Technova"/>
    <x v="1"/>
    <n v="13"/>
    <n v="71000"/>
    <d v="2009-12-31T00:00:00"/>
    <n v="2"/>
    <x v="2"/>
    <n v="3"/>
    <n v="4.2253521126760563E-5"/>
    <b v="0"/>
    <b v="1"/>
    <x v="1"/>
    <n v="0.13380281690140841"/>
    <n v="0.25"/>
    <n v="0.18028169014084505"/>
  </r>
  <r>
    <s v="ID000015"/>
    <x v="5"/>
    <x v="5"/>
    <s v="Technova"/>
    <x v="1"/>
    <n v="4"/>
    <n v="48000"/>
    <d v="2015-10-27T00:00:00"/>
    <n v="2"/>
    <x v="1"/>
    <n v="2"/>
    <n v="4.1666666666666665E-5"/>
    <b v="0"/>
    <b v="0"/>
    <x v="1"/>
    <n v="0.12499999999999994"/>
    <n v="0.25"/>
    <n v="0.17499999999999999"/>
  </r>
  <r>
    <s v="ID000088"/>
    <x v="7"/>
    <x v="7"/>
    <s v="Dataverse"/>
    <x v="0"/>
    <n v="21"/>
    <n v="48000"/>
    <d v="2005-06-05T00:00:00"/>
    <n v="2"/>
    <x v="1"/>
    <n v="2"/>
    <n v="4.1666666666666665E-5"/>
    <b v="1"/>
    <b v="1"/>
    <x v="1"/>
    <n v="0.12499999999999994"/>
    <n v="0.25"/>
    <n v="0.17499999999999999"/>
  </r>
  <r>
    <s v="ID000174"/>
    <x v="7"/>
    <x v="7"/>
    <s v="Technova"/>
    <x v="1"/>
    <n v="10"/>
    <n v="48000"/>
    <d v="2016-05-27T00:00:00"/>
    <n v="2"/>
    <x v="1"/>
    <n v="2"/>
    <n v="4.1666666666666665E-5"/>
    <b v="0"/>
    <b v="1"/>
    <x v="1"/>
    <n v="0.12499999999999994"/>
    <n v="0.25"/>
    <n v="0.17499999999999999"/>
  </r>
  <r>
    <s v="ID000419"/>
    <x v="2"/>
    <x v="2"/>
    <s v="Technova"/>
    <x v="1"/>
    <n v="2"/>
    <n v="48000"/>
    <d v="2005-01-21T00:00:00"/>
    <n v="2"/>
    <x v="1"/>
    <n v="2"/>
    <n v="4.1666666666666665E-5"/>
    <b v="0"/>
    <b v="0"/>
    <x v="1"/>
    <n v="0.12499999999999994"/>
    <n v="0.25"/>
    <n v="0.17499999999999999"/>
  </r>
  <r>
    <s v="ID000501"/>
    <x v="2"/>
    <x v="2"/>
    <s v="Technova"/>
    <x v="1"/>
    <n v="9"/>
    <n v="48000"/>
    <d v="2016-09-22T00:00:00"/>
    <n v="2"/>
    <x v="1"/>
    <n v="2"/>
    <n v="4.1666666666666665E-5"/>
    <b v="0"/>
    <b v="1"/>
    <x v="1"/>
    <n v="0.12499999999999994"/>
    <n v="0.25"/>
    <n v="0.17499999999999999"/>
  </r>
  <r>
    <s v="ID000650"/>
    <x v="3"/>
    <x v="3"/>
    <s v="Dataverse"/>
    <x v="0"/>
    <n v="5"/>
    <n v="48000"/>
    <d v="2017-03-03T00:00:00"/>
    <n v="2"/>
    <x v="1"/>
    <n v="2"/>
    <n v="4.1666666666666665E-5"/>
    <b v="0"/>
    <b v="0"/>
    <x v="1"/>
    <n v="0.12499999999999994"/>
    <n v="0.25"/>
    <n v="0.17499999999999999"/>
  </r>
  <r>
    <s v="ID000768"/>
    <x v="3"/>
    <x v="3"/>
    <s v="Technova"/>
    <x v="1"/>
    <n v="4"/>
    <n v="48000"/>
    <d v="2017-11-27T00:00:00"/>
    <n v="2"/>
    <x v="1"/>
    <n v="2"/>
    <n v="4.1666666666666665E-5"/>
    <b v="0"/>
    <b v="0"/>
    <x v="1"/>
    <n v="0.12499999999999994"/>
    <n v="0.25"/>
    <n v="0.17499999999999999"/>
  </r>
  <r>
    <s v="ID000821"/>
    <x v="3"/>
    <x v="3"/>
    <s v="Dataverse"/>
    <x v="0"/>
    <n v="23"/>
    <n v="48000"/>
    <d v="2014-12-08T00:00:00"/>
    <n v="2"/>
    <x v="1"/>
    <n v="2"/>
    <n v="4.1666666666666665E-5"/>
    <b v="1"/>
    <b v="1"/>
    <x v="1"/>
    <n v="0.12499999999999994"/>
    <n v="0.25"/>
    <n v="0.17499999999999999"/>
  </r>
  <r>
    <s v="ID000897"/>
    <x v="5"/>
    <x v="5"/>
    <s v="Technova"/>
    <x v="1"/>
    <n v="13"/>
    <n v="72000"/>
    <d v="2011-01-24T00:00:00"/>
    <n v="2"/>
    <x v="2"/>
    <n v="3"/>
    <n v="4.1666666666666665E-5"/>
    <b v="0"/>
    <b v="1"/>
    <x v="1"/>
    <n v="0.12499999999999994"/>
    <n v="0.25"/>
    <n v="0.17499999999999999"/>
  </r>
  <r>
    <s v="ID000968"/>
    <x v="5"/>
    <x v="5"/>
    <s v="Dataverse"/>
    <x v="0"/>
    <n v="24"/>
    <n v="72000"/>
    <d v="2021-02-19T00:00:00"/>
    <n v="2"/>
    <x v="2"/>
    <n v="3"/>
    <n v="4.1666666666666665E-5"/>
    <b v="1"/>
    <b v="1"/>
    <x v="1"/>
    <n v="0.12499999999999994"/>
    <n v="0.25"/>
    <n v="0.17499999999999999"/>
  </r>
  <r>
    <s v="ID000194"/>
    <x v="0"/>
    <x v="0"/>
    <s v="Technova"/>
    <x v="1"/>
    <n v="15"/>
    <n v="19000"/>
    <d v="2007-07-15T00:00:00"/>
    <n v="1"/>
    <x v="0"/>
    <n v="1"/>
    <n v="5.2631578947368424E-5"/>
    <b v="0"/>
    <b v="1"/>
    <x v="1"/>
    <n v="0.28947368421052633"/>
    <n v="0"/>
    <n v="0.1736842105263158"/>
  </r>
  <r>
    <s v="ID000270"/>
    <x v="6"/>
    <x v="6"/>
    <s v="Technova"/>
    <x v="1"/>
    <n v="7"/>
    <n v="38000"/>
    <d v="2006-12-20T00:00:00"/>
    <n v="1"/>
    <x v="1"/>
    <n v="2"/>
    <n v="5.2631578947368424E-5"/>
    <b v="0"/>
    <b v="1"/>
    <x v="1"/>
    <n v="0.28947368421052633"/>
    <n v="0"/>
    <n v="0.1736842105263158"/>
  </r>
  <r>
    <s v="ID000317"/>
    <x v="0"/>
    <x v="0"/>
    <s v="Technova"/>
    <x v="1"/>
    <n v="22"/>
    <n v="19000"/>
    <d v="2019-03-14T00:00:00"/>
    <n v="1"/>
    <x v="0"/>
    <n v="1"/>
    <n v="5.2631578947368424E-5"/>
    <b v="1"/>
    <b v="1"/>
    <x v="1"/>
    <n v="0.28947368421052633"/>
    <n v="0"/>
    <n v="0.1736842105263158"/>
  </r>
  <r>
    <s v="ID000465"/>
    <x v="2"/>
    <x v="2"/>
    <s v="Dataverse"/>
    <x v="0"/>
    <n v="14"/>
    <n v="38000"/>
    <d v="2020-11-26T00:00:00"/>
    <n v="1"/>
    <x v="1"/>
    <n v="2"/>
    <n v="5.2631578947368424E-5"/>
    <b v="0"/>
    <b v="1"/>
    <x v="1"/>
    <n v="0.28947368421052633"/>
    <n v="0"/>
    <n v="0.1736842105263158"/>
  </r>
  <r>
    <s v="ID000531"/>
    <x v="5"/>
    <x v="5"/>
    <s v="Dataverse"/>
    <x v="0"/>
    <n v="24"/>
    <n v="73000"/>
    <d v="2021-07-29T00:00:00"/>
    <n v="2"/>
    <x v="2"/>
    <n v="3"/>
    <n v="4.1095890410958905E-5"/>
    <b v="1"/>
    <b v="1"/>
    <x v="1"/>
    <n v="0.11643835616438356"/>
    <n v="0.25"/>
    <n v="0.16986301369863013"/>
  </r>
  <r>
    <s v="ID000639"/>
    <x v="5"/>
    <x v="5"/>
    <s v="Dataverse"/>
    <x v="0"/>
    <n v="25"/>
    <n v="73000"/>
    <d v="2022-06-12T00:00:00"/>
    <n v="2"/>
    <x v="2"/>
    <n v="3"/>
    <n v="4.1095890410958905E-5"/>
    <b v="1"/>
    <b v="1"/>
    <x v="1"/>
    <n v="0.11643835616438356"/>
    <n v="0.25"/>
    <n v="0.16986301369863013"/>
  </r>
  <r>
    <s v="ID000698"/>
    <x v="5"/>
    <x v="5"/>
    <s v="Technova"/>
    <x v="1"/>
    <n v="7"/>
    <n v="73000"/>
    <d v="2008-09-15T00:00:00"/>
    <n v="2"/>
    <x v="2"/>
    <n v="3"/>
    <n v="4.1095890410958905E-5"/>
    <b v="0"/>
    <b v="1"/>
    <x v="1"/>
    <n v="0.11643835616438356"/>
    <n v="0.25"/>
    <n v="0.16986301369863013"/>
  </r>
  <r>
    <s v="ID000036"/>
    <x v="5"/>
    <x v="5"/>
    <s v="Technova"/>
    <x v="1"/>
    <n v="20"/>
    <n v="49000"/>
    <d v="2023-01-02T00:00:00"/>
    <n v="2"/>
    <x v="1"/>
    <n v="2"/>
    <n v="4.0816326530612245E-5"/>
    <b v="1"/>
    <b v="1"/>
    <x v="1"/>
    <n v="0.11224489795918365"/>
    <n v="0.25"/>
    <n v="0.16734693877551018"/>
  </r>
  <r>
    <s v="ID000080"/>
    <x v="5"/>
    <x v="5"/>
    <s v="Dataverse"/>
    <x v="0"/>
    <n v="11"/>
    <n v="49000"/>
    <d v="2016-07-27T00:00:00"/>
    <n v="2"/>
    <x v="1"/>
    <n v="2"/>
    <n v="4.0816326530612245E-5"/>
    <b v="0"/>
    <b v="1"/>
    <x v="1"/>
    <n v="0.11224489795918365"/>
    <n v="0.25"/>
    <n v="0.16734693877551018"/>
  </r>
  <r>
    <s v="ID000175"/>
    <x v="7"/>
    <x v="7"/>
    <s v="Technova"/>
    <x v="1"/>
    <n v="9"/>
    <n v="49000"/>
    <d v="2014-07-23T00:00:00"/>
    <n v="2"/>
    <x v="1"/>
    <n v="2"/>
    <n v="4.0816326530612245E-5"/>
    <b v="0"/>
    <b v="1"/>
    <x v="1"/>
    <n v="0.11224489795918365"/>
    <n v="0.25"/>
    <n v="0.16734693877551018"/>
  </r>
  <r>
    <s v="ID000234"/>
    <x v="6"/>
    <x v="6"/>
    <s v="Dataverse"/>
    <x v="0"/>
    <n v="11"/>
    <n v="49000"/>
    <d v="2010-05-01T00:00:00"/>
    <n v="2"/>
    <x v="1"/>
    <n v="2"/>
    <n v="4.0816326530612245E-5"/>
    <b v="0"/>
    <b v="1"/>
    <x v="1"/>
    <n v="0.11224489795918365"/>
    <n v="0.25"/>
    <n v="0.16734693877551018"/>
  </r>
  <r>
    <s v="ID000557"/>
    <x v="3"/>
    <x v="3"/>
    <s v="Dataverse"/>
    <x v="0"/>
    <n v="5"/>
    <n v="49000"/>
    <d v="2016-12-03T00:00:00"/>
    <n v="2"/>
    <x v="1"/>
    <n v="2"/>
    <n v="4.0816326530612245E-5"/>
    <b v="0"/>
    <b v="0"/>
    <x v="1"/>
    <n v="0.11224489795918365"/>
    <n v="0.25"/>
    <n v="0.16734693877551018"/>
  </r>
  <r>
    <s v="ID000757"/>
    <x v="3"/>
    <x v="3"/>
    <s v="Technova"/>
    <x v="1"/>
    <n v="25"/>
    <n v="49000"/>
    <d v="2012-12-18T00:00:00"/>
    <n v="2"/>
    <x v="1"/>
    <n v="2"/>
    <n v="4.0816326530612245E-5"/>
    <b v="1"/>
    <b v="1"/>
    <x v="1"/>
    <n v="0.11224489795918365"/>
    <n v="0.25"/>
    <n v="0.16734693877551018"/>
  </r>
  <r>
    <s v="ID000002"/>
    <x v="8"/>
    <x v="8"/>
    <s v="Technova"/>
    <x v="1"/>
    <n v="15"/>
    <n v="74000"/>
    <d v="2008-07-18T00:00:00"/>
    <n v="2"/>
    <x v="2"/>
    <n v="3"/>
    <n v="4.0540540540540538E-5"/>
    <b v="0"/>
    <b v="1"/>
    <x v="1"/>
    <n v="0.10810810810810804"/>
    <n v="0.25"/>
    <n v="0.16486486486486485"/>
  </r>
  <r>
    <s v="ID000142"/>
    <x v="7"/>
    <x v="7"/>
    <s v="Technova"/>
    <x v="1"/>
    <n v="13"/>
    <n v="39000"/>
    <d v="2016-08-21T00:00:00"/>
    <n v="1"/>
    <x v="1"/>
    <n v="2"/>
    <n v="5.1282051282051279E-5"/>
    <b v="0"/>
    <b v="1"/>
    <x v="1"/>
    <n v="0.26923076923076916"/>
    <n v="0"/>
    <n v="0.16153846153846149"/>
  </r>
  <r>
    <s v="ID000388"/>
    <x v="2"/>
    <x v="2"/>
    <s v="Technova"/>
    <x v="1"/>
    <n v="11"/>
    <n v="39000"/>
    <d v="2014-01-01T00:00:00"/>
    <n v="1"/>
    <x v="1"/>
    <n v="2"/>
    <n v="5.1282051282051279E-5"/>
    <b v="0"/>
    <b v="1"/>
    <x v="1"/>
    <n v="0.26923076923076916"/>
    <n v="0"/>
    <n v="0.16153846153846149"/>
  </r>
  <r>
    <s v="ID000594"/>
    <x v="3"/>
    <x v="3"/>
    <s v="Technova"/>
    <x v="1"/>
    <n v="24"/>
    <n v="39000"/>
    <d v="2016-10-09T00:00:00"/>
    <n v="1"/>
    <x v="1"/>
    <n v="2"/>
    <n v="5.1282051282051279E-5"/>
    <b v="1"/>
    <b v="1"/>
    <x v="1"/>
    <n v="0.26923076923076916"/>
    <n v="0"/>
    <n v="0.16153846153846149"/>
  </r>
  <r>
    <s v="ID000716"/>
    <x v="3"/>
    <x v="3"/>
    <s v="Technova"/>
    <x v="1"/>
    <n v="8"/>
    <n v="39000"/>
    <d v="2017-07-18T00:00:00"/>
    <n v="1"/>
    <x v="1"/>
    <n v="2"/>
    <n v="5.1282051282051279E-5"/>
    <b v="0"/>
    <b v="1"/>
    <x v="1"/>
    <n v="0.26923076923076916"/>
    <n v="0"/>
    <n v="0.16153846153846149"/>
  </r>
  <r>
    <s v="ID000733"/>
    <x v="3"/>
    <x v="3"/>
    <s v="Technova"/>
    <x v="1"/>
    <n v="11"/>
    <n v="39000"/>
    <d v="2008-05-17T00:00:00"/>
    <n v="1"/>
    <x v="1"/>
    <n v="2"/>
    <n v="5.1282051282051279E-5"/>
    <b v="0"/>
    <b v="1"/>
    <x v="1"/>
    <n v="0.26923076923076916"/>
    <n v="0"/>
    <n v="0.16153846153846149"/>
  </r>
  <r>
    <s v="ID000758"/>
    <x v="3"/>
    <x v="3"/>
    <s v="Technova"/>
    <x v="1"/>
    <n v="13"/>
    <n v="39000"/>
    <d v="2015-08-25T00:00:00"/>
    <n v="1"/>
    <x v="1"/>
    <n v="2"/>
    <n v="5.1282051282051279E-5"/>
    <b v="0"/>
    <b v="1"/>
    <x v="1"/>
    <n v="0.26923076923076916"/>
    <n v="0"/>
    <n v="0.16153846153846149"/>
  </r>
  <r>
    <s v="ID000910"/>
    <x v="4"/>
    <x v="4"/>
    <s v="Technova"/>
    <x v="1"/>
    <n v="11"/>
    <n v="39000"/>
    <d v="2006-12-28T00:00:00"/>
    <n v="1"/>
    <x v="1"/>
    <n v="2"/>
    <n v="5.1282051282051279E-5"/>
    <b v="0"/>
    <b v="1"/>
    <x v="1"/>
    <n v="0.26923076923076916"/>
    <n v="0"/>
    <n v="0.16153846153846149"/>
  </r>
  <r>
    <s v="ID000094"/>
    <x v="7"/>
    <x v="7"/>
    <s v="Dataverse"/>
    <x v="0"/>
    <n v="3"/>
    <n v="50000"/>
    <d v="2013-10-24T00:00:00"/>
    <n v="2"/>
    <x v="1"/>
    <n v="2"/>
    <n v="4.0000000000000003E-5"/>
    <b v="0"/>
    <b v="0"/>
    <x v="1"/>
    <n v="0.10000000000000002"/>
    <n v="0.25"/>
    <n v="0.16000000000000003"/>
  </r>
  <r>
    <s v="ID000365"/>
    <x v="0"/>
    <x v="0"/>
    <s v="Dataverse"/>
    <x v="0"/>
    <n v="11"/>
    <n v="25000"/>
    <d v="2012-06-05T00:00:00"/>
    <n v="2"/>
    <x v="0"/>
    <n v="1"/>
    <n v="4.0000000000000003E-5"/>
    <b v="0"/>
    <b v="1"/>
    <x v="1"/>
    <n v="0.10000000000000002"/>
    <n v="0.25"/>
    <n v="0.16000000000000003"/>
  </r>
  <r>
    <s v="ID000479"/>
    <x v="0"/>
    <x v="0"/>
    <s v="Dataverse"/>
    <x v="0"/>
    <n v="5"/>
    <n v="25000"/>
    <d v="2014-04-28T00:00:00"/>
    <n v="2"/>
    <x v="0"/>
    <n v="1"/>
    <n v="4.0000000000000003E-5"/>
    <b v="0"/>
    <b v="0"/>
    <x v="1"/>
    <n v="0.10000000000000002"/>
    <n v="0.25"/>
    <n v="0.16000000000000003"/>
  </r>
  <r>
    <s v="ID000532"/>
    <x v="5"/>
    <x v="5"/>
    <s v="Dataverse"/>
    <x v="0"/>
    <n v="19"/>
    <n v="75000"/>
    <d v="2019-03-02T00:00:00"/>
    <n v="2"/>
    <x v="2"/>
    <n v="3"/>
    <n v="4.0000000000000003E-5"/>
    <b v="1"/>
    <b v="1"/>
    <x v="1"/>
    <n v="0.10000000000000002"/>
    <n v="0.25"/>
    <n v="0.16000000000000003"/>
  </r>
  <r>
    <s v="ID000838"/>
    <x v="3"/>
    <x v="3"/>
    <s v="Dataverse"/>
    <x v="0"/>
    <n v="19"/>
    <n v="50000"/>
    <d v="2010-08-30T00:00:00"/>
    <n v="2"/>
    <x v="1"/>
    <n v="2"/>
    <n v="4.0000000000000003E-5"/>
    <b v="1"/>
    <b v="1"/>
    <x v="1"/>
    <n v="0.10000000000000002"/>
    <n v="0.25"/>
    <n v="0.16000000000000003"/>
  </r>
  <r>
    <s v="ID000858"/>
    <x v="3"/>
    <x v="3"/>
    <s v="Dataverse"/>
    <x v="0"/>
    <n v="16"/>
    <n v="50000"/>
    <d v="2008-01-14T00:00:00"/>
    <n v="2"/>
    <x v="1"/>
    <n v="2"/>
    <n v="4.0000000000000003E-5"/>
    <b v="1"/>
    <b v="1"/>
    <x v="1"/>
    <n v="0.10000000000000002"/>
    <n v="0.25"/>
    <n v="0.16000000000000003"/>
  </r>
  <r>
    <s v="ID000982"/>
    <x v="4"/>
    <x v="4"/>
    <s v="Dataverse"/>
    <x v="0"/>
    <n v="15"/>
    <n v="50000"/>
    <d v="2011-02-08T00:00:00"/>
    <n v="2"/>
    <x v="1"/>
    <n v="2"/>
    <n v="4.0000000000000003E-5"/>
    <b v="0"/>
    <b v="1"/>
    <x v="1"/>
    <n v="0.10000000000000002"/>
    <n v="0.25"/>
    <n v="0.16000000000000003"/>
  </r>
  <r>
    <s v="ID000006"/>
    <x v="8"/>
    <x v="8"/>
    <s v="Technova"/>
    <x v="1"/>
    <n v="19"/>
    <n v="76000"/>
    <d v="2013-02-05T00:00:00"/>
    <n v="2"/>
    <x v="2"/>
    <n v="3"/>
    <n v="3.9473684210526316E-5"/>
    <b v="1"/>
    <b v="1"/>
    <x v="1"/>
    <n v="9.2105263157894718E-2"/>
    <n v="0.25"/>
    <n v="0.15526315789473683"/>
  </r>
  <r>
    <s v="ID000411"/>
    <x v="9"/>
    <x v="9"/>
    <s v="Technova"/>
    <x v="1"/>
    <n v="20"/>
    <n v="76000"/>
    <d v="2007-05-23T00:00:00"/>
    <n v="2"/>
    <x v="2"/>
    <n v="3"/>
    <n v="3.9473684210526316E-5"/>
    <b v="1"/>
    <b v="1"/>
    <x v="1"/>
    <n v="9.2105263157894718E-2"/>
    <n v="0.25"/>
    <n v="0.15526315789473683"/>
  </r>
  <r>
    <s v="ID000452"/>
    <x v="9"/>
    <x v="9"/>
    <s v="Dataverse"/>
    <x v="0"/>
    <n v="14"/>
    <n v="76000"/>
    <d v="2013-02-22T00:00:00"/>
    <n v="2"/>
    <x v="2"/>
    <n v="3"/>
    <n v="3.9473684210526316E-5"/>
    <b v="0"/>
    <b v="1"/>
    <x v="1"/>
    <n v="9.2105263157894718E-2"/>
    <n v="0.25"/>
    <n v="0.15526315789473683"/>
  </r>
  <r>
    <s v="ID000162"/>
    <x v="7"/>
    <x v="7"/>
    <s v="Technova"/>
    <x v="1"/>
    <n v="13"/>
    <n v="40000"/>
    <d v="2013-06-27T00:00:00"/>
    <n v="1"/>
    <x v="1"/>
    <n v="2"/>
    <n v="5.0000000000000002E-5"/>
    <b v="0"/>
    <b v="1"/>
    <x v="1"/>
    <n v="0.25"/>
    <n v="0"/>
    <n v="0.15"/>
  </r>
  <r>
    <s v="ID000442"/>
    <x v="0"/>
    <x v="0"/>
    <s v="Technova"/>
    <x v="1"/>
    <n v="25"/>
    <n v="20000"/>
    <d v="2019-02-02T00:00:00"/>
    <n v="1"/>
    <x v="0"/>
    <n v="1"/>
    <n v="5.0000000000000002E-5"/>
    <b v="1"/>
    <b v="1"/>
    <x v="1"/>
    <n v="0.25"/>
    <n v="0"/>
    <n v="0.15"/>
  </r>
  <r>
    <s v="ID000624"/>
    <x v="1"/>
    <x v="1"/>
    <s v="Technova"/>
    <x v="1"/>
    <n v="17"/>
    <n v="20000"/>
    <d v="2017-07-18T00:00:00"/>
    <n v="1"/>
    <x v="0"/>
    <n v="1"/>
    <n v="5.0000000000000002E-5"/>
    <b v="1"/>
    <b v="1"/>
    <x v="1"/>
    <n v="0.25"/>
    <n v="0"/>
    <n v="0.15"/>
  </r>
  <r>
    <s v="ID000680"/>
    <x v="1"/>
    <x v="1"/>
    <s v="Dataverse"/>
    <x v="0"/>
    <n v="23"/>
    <n v="20000"/>
    <d v="2023-04-21T00:00:00"/>
    <n v="1"/>
    <x v="0"/>
    <n v="1"/>
    <n v="5.0000000000000002E-5"/>
    <b v="1"/>
    <b v="1"/>
    <x v="1"/>
    <n v="0.25"/>
    <n v="0"/>
    <n v="0.15"/>
  </r>
  <r>
    <s v="ID000685"/>
    <x v="1"/>
    <x v="1"/>
    <s v="Dataverse"/>
    <x v="0"/>
    <n v="4"/>
    <n v="20000"/>
    <d v="2022-07-21T00:00:00"/>
    <n v="1"/>
    <x v="0"/>
    <n v="1"/>
    <n v="5.0000000000000002E-5"/>
    <b v="0"/>
    <b v="0"/>
    <x v="1"/>
    <n v="0.25"/>
    <n v="0"/>
    <n v="0.15"/>
  </r>
  <r>
    <s v="ID000752"/>
    <x v="3"/>
    <x v="3"/>
    <s v="Technova"/>
    <x v="1"/>
    <n v="8"/>
    <n v="40000"/>
    <d v="2018-06-13T00:00:00"/>
    <n v="1"/>
    <x v="1"/>
    <n v="2"/>
    <n v="5.0000000000000002E-5"/>
    <b v="0"/>
    <b v="1"/>
    <x v="1"/>
    <n v="0.25"/>
    <n v="0"/>
    <n v="0.15"/>
  </r>
  <r>
    <s v="ID000759"/>
    <x v="3"/>
    <x v="3"/>
    <s v="Technova"/>
    <x v="1"/>
    <n v="8"/>
    <n v="40000"/>
    <d v="2005-06-23T00:00:00"/>
    <n v="1"/>
    <x v="1"/>
    <n v="2"/>
    <n v="5.0000000000000002E-5"/>
    <b v="0"/>
    <b v="1"/>
    <x v="1"/>
    <n v="0.25"/>
    <n v="0"/>
    <n v="0.15"/>
  </r>
  <r>
    <s v="ID000774"/>
    <x v="3"/>
    <x v="3"/>
    <s v="Technova"/>
    <x v="1"/>
    <n v="10"/>
    <n v="40000"/>
    <d v="2023-10-14T00:00:00"/>
    <n v="1"/>
    <x v="1"/>
    <n v="2"/>
    <n v="5.0000000000000002E-5"/>
    <b v="0"/>
    <b v="1"/>
    <x v="1"/>
    <n v="0.25"/>
    <n v="0"/>
    <n v="0.15"/>
  </r>
  <r>
    <s v="ID000879"/>
    <x v="1"/>
    <x v="1"/>
    <s v="Dataverse"/>
    <x v="0"/>
    <n v="23"/>
    <n v="20000"/>
    <d v="2021-02-13T00:00:00"/>
    <n v="1"/>
    <x v="0"/>
    <n v="1"/>
    <n v="5.0000000000000002E-5"/>
    <b v="1"/>
    <b v="1"/>
    <x v="1"/>
    <n v="0.25"/>
    <n v="0"/>
    <n v="0.15"/>
  </r>
  <r>
    <s v="ID000911"/>
    <x v="1"/>
    <x v="1"/>
    <s v="Technova"/>
    <x v="1"/>
    <n v="2"/>
    <n v="20000"/>
    <d v="2012-07-13T00:00:00"/>
    <n v="1"/>
    <x v="0"/>
    <n v="1"/>
    <n v="5.0000000000000002E-5"/>
    <b v="0"/>
    <b v="0"/>
    <x v="1"/>
    <n v="0.25"/>
    <n v="0"/>
    <n v="0.15"/>
  </r>
  <r>
    <s v="ID000927"/>
    <x v="4"/>
    <x v="4"/>
    <s v="Dataverse"/>
    <x v="0"/>
    <n v="11"/>
    <n v="40000"/>
    <d v="2018-07-29T00:00:00"/>
    <n v="1"/>
    <x v="1"/>
    <n v="2"/>
    <n v="5.0000000000000002E-5"/>
    <b v="0"/>
    <b v="1"/>
    <x v="1"/>
    <n v="0.25"/>
    <n v="0"/>
    <n v="0.15"/>
  </r>
  <r>
    <s v="ID000931"/>
    <x v="1"/>
    <x v="1"/>
    <s v="Dataverse"/>
    <x v="0"/>
    <n v="10"/>
    <n v="20000"/>
    <d v="2017-08-05T00:00:00"/>
    <n v="1"/>
    <x v="0"/>
    <n v="1"/>
    <n v="5.0000000000000002E-5"/>
    <b v="0"/>
    <b v="1"/>
    <x v="1"/>
    <n v="0.25"/>
    <n v="0"/>
    <n v="0.15"/>
  </r>
  <r>
    <s v="ID000943"/>
    <x v="4"/>
    <x v="4"/>
    <s v="Technova"/>
    <x v="1"/>
    <n v="9"/>
    <n v="40000"/>
    <d v="2008-07-14T00:00:00"/>
    <n v="1"/>
    <x v="1"/>
    <n v="2"/>
    <n v="5.0000000000000002E-5"/>
    <b v="0"/>
    <b v="1"/>
    <x v="1"/>
    <n v="0.25"/>
    <n v="0"/>
    <n v="0.15"/>
  </r>
  <r>
    <s v="ID000054"/>
    <x v="8"/>
    <x v="8"/>
    <s v="Dataverse"/>
    <x v="0"/>
    <n v="12"/>
    <n v="78000"/>
    <d v="2013-08-26T00:00:00"/>
    <n v="2"/>
    <x v="2"/>
    <n v="3"/>
    <n v="3.8461538461538463E-5"/>
    <b v="0"/>
    <b v="1"/>
    <x v="1"/>
    <n v="7.6923076923076913E-2"/>
    <n v="0.25"/>
    <n v="0.14615384615384616"/>
  </r>
  <r>
    <s v="ID000179"/>
    <x v="0"/>
    <x v="0"/>
    <s v="Technova"/>
    <x v="1"/>
    <n v="9"/>
    <n v="26000"/>
    <d v="2008-10-14T00:00:00"/>
    <n v="2"/>
    <x v="0"/>
    <n v="1"/>
    <n v="3.8461538461538463E-5"/>
    <b v="0"/>
    <b v="1"/>
    <x v="1"/>
    <n v="7.6923076923076913E-2"/>
    <n v="0.25"/>
    <n v="0.14615384615384616"/>
  </r>
  <r>
    <s v="ID000312"/>
    <x v="0"/>
    <x v="0"/>
    <s v="Technova"/>
    <x v="1"/>
    <n v="5"/>
    <n v="26000"/>
    <d v="2017-01-06T00:00:00"/>
    <n v="2"/>
    <x v="0"/>
    <n v="1"/>
    <n v="3.8461538461538463E-5"/>
    <b v="0"/>
    <b v="0"/>
    <x v="1"/>
    <n v="7.6923076923076913E-2"/>
    <n v="0.25"/>
    <n v="0.14615384615384616"/>
  </r>
  <r>
    <s v="ID000446"/>
    <x v="0"/>
    <x v="0"/>
    <s v="Technova"/>
    <x v="1"/>
    <n v="24"/>
    <n v="26000"/>
    <d v="2018-05-23T00:00:00"/>
    <n v="2"/>
    <x v="0"/>
    <n v="1"/>
    <n v="3.8461538461538463E-5"/>
    <b v="1"/>
    <b v="1"/>
    <x v="1"/>
    <n v="7.6923076923076913E-2"/>
    <n v="0.25"/>
    <n v="0.14615384615384616"/>
  </r>
  <r>
    <s v="ID000621"/>
    <x v="1"/>
    <x v="1"/>
    <s v="Technova"/>
    <x v="1"/>
    <n v="23"/>
    <n v="26000"/>
    <d v="2008-06-01T00:00:00"/>
    <n v="2"/>
    <x v="0"/>
    <n v="1"/>
    <n v="3.8461538461538463E-5"/>
    <b v="1"/>
    <b v="1"/>
    <x v="1"/>
    <n v="7.6923076923076913E-2"/>
    <n v="0.25"/>
    <n v="0.14615384615384616"/>
  </r>
  <r>
    <s v="ID000248"/>
    <x v="8"/>
    <x v="8"/>
    <s v="Technova"/>
    <x v="1"/>
    <n v="22"/>
    <n v="61000"/>
    <d v="2009-12-05T00:00:00"/>
    <n v="1"/>
    <x v="2"/>
    <n v="3"/>
    <n v="4.9180327868852456E-5"/>
    <b v="1"/>
    <b v="1"/>
    <x v="1"/>
    <n v="0.23770491803278682"/>
    <n v="0"/>
    <n v="0.14262295081967208"/>
  </r>
  <r>
    <s v="ID000803"/>
    <x v="5"/>
    <x v="5"/>
    <s v="Dataverse"/>
    <x v="0"/>
    <n v="24"/>
    <n v="61000"/>
    <d v="2008-01-01T00:00:00"/>
    <n v="1"/>
    <x v="2"/>
    <n v="3"/>
    <n v="4.9180327868852456E-5"/>
    <b v="1"/>
    <b v="1"/>
    <x v="1"/>
    <n v="0.23770491803278682"/>
    <n v="0"/>
    <n v="0.14262295081967208"/>
  </r>
  <r>
    <s v="ID000176"/>
    <x v="7"/>
    <x v="7"/>
    <s v="Technova"/>
    <x v="1"/>
    <n v="7"/>
    <n v="41000"/>
    <d v="2012-04-14T00:00:00"/>
    <n v="1"/>
    <x v="1"/>
    <n v="2"/>
    <n v="4.8780487804878051E-5"/>
    <b v="0"/>
    <b v="1"/>
    <x v="1"/>
    <n v="0.23170731707317074"/>
    <n v="0"/>
    <n v="0.13902439024390245"/>
  </r>
  <r>
    <s v="ID000331"/>
    <x v="6"/>
    <x v="6"/>
    <s v="Dataverse"/>
    <x v="0"/>
    <n v="11"/>
    <n v="41000"/>
    <d v="2005-11-17T00:00:00"/>
    <n v="1"/>
    <x v="1"/>
    <n v="2"/>
    <n v="4.8780487804878051E-5"/>
    <b v="0"/>
    <b v="1"/>
    <x v="1"/>
    <n v="0.23170731707317074"/>
    <n v="0"/>
    <n v="0.13902439024390245"/>
  </r>
  <r>
    <s v="ID000482"/>
    <x v="9"/>
    <x v="9"/>
    <s v="Technova"/>
    <x v="1"/>
    <n v="23"/>
    <n v="80000"/>
    <d v="2014-02-19T00:00:00"/>
    <n v="2"/>
    <x v="2"/>
    <n v="3"/>
    <n v="3.7499999999999997E-5"/>
    <b v="1"/>
    <b v="1"/>
    <x v="1"/>
    <n v="6.2499999999999924E-2"/>
    <n v="0.25"/>
    <n v="0.13749999999999996"/>
  </r>
  <r>
    <s v="ID000631"/>
    <x v="5"/>
    <x v="5"/>
    <s v="Dataverse"/>
    <x v="0"/>
    <n v="22"/>
    <n v="80000"/>
    <d v="2009-04-11T00:00:00"/>
    <n v="2"/>
    <x v="2"/>
    <n v="3"/>
    <n v="3.7499999999999997E-5"/>
    <b v="1"/>
    <b v="1"/>
    <x v="1"/>
    <n v="6.2499999999999924E-2"/>
    <n v="0.25"/>
    <n v="0.13749999999999996"/>
  </r>
  <r>
    <s v="ID000898"/>
    <x v="5"/>
    <x v="5"/>
    <s v="Technova"/>
    <x v="1"/>
    <n v="23"/>
    <n v="62000"/>
    <d v="2017-06-07T00:00:00"/>
    <n v="1"/>
    <x v="2"/>
    <n v="3"/>
    <n v="4.8387096774193547E-5"/>
    <b v="1"/>
    <b v="1"/>
    <x v="1"/>
    <n v="0.22580645161290316"/>
    <n v="0"/>
    <n v="0.13548387096774189"/>
  </r>
  <r>
    <s v="ID000701"/>
    <x v="5"/>
    <x v="5"/>
    <s v="Technova"/>
    <x v="1"/>
    <n v="11"/>
    <n v="82000"/>
    <d v="2012-08-07T00:00:00"/>
    <n v="2"/>
    <x v="2"/>
    <n v="3"/>
    <n v="3.6585365853658535E-5"/>
    <b v="0"/>
    <b v="1"/>
    <x v="1"/>
    <n v="4.8780487804878002E-2"/>
    <n v="0.25"/>
    <n v="0.12926829268292681"/>
  </r>
  <r>
    <s v="ID000422"/>
    <x v="2"/>
    <x v="2"/>
    <s v="Technova"/>
    <x v="1"/>
    <n v="6"/>
    <n v="42000"/>
    <d v="2022-02-05T00:00:00"/>
    <n v="1"/>
    <x v="1"/>
    <n v="2"/>
    <n v="4.761904761904762E-5"/>
    <b v="0"/>
    <b v="1"/>
    <x v="1"/>
    <n v="0.21428571428571427"/>
    <n v="0"/>
    <n v="0.12857142857142856"/>
  </r>
  <r>
    <s v="ID000450"/>
    <x v="0"/>
    <x v="0"/>
    <s v="Technova"/>
    <x v="1"/>
    <n v="25"/>
    <n v="21000"/>
    <d v="2009-04-10T00:00:00"/>
    <n v="1"/>
    <x v="0"/>
    <n v="1"/>
    <n v="4.761904761904762E-5"/>
    <b v="1"/>
    <b v="1"/>
    <x v="1"/>
    <n v="0.21428571428571427"/>
    <n v="0"/>
    <n v="0.12857142857142856"/>
  </r>
  <r>
    <s v="ID000494"/>
    <x v="2"/>
    <x v="2"/>
    <s v="Technova"/>
    <x v="1"/>
    <n v="15"/>
    <n v="42000"/>
    <d v="2017-05-26T00:00:00"/>
    <n v="1"/>
    <x v="1"/>
    <n v="2"/>
    <n v="4.761904761904762E-5"/>
    <b v="0"/>
    <b v="1"/>
    <x v="1"/>
    <n v="0.21428571428571427"/>
    <n v="0"/>
    <n v="0.12857142857142856"/>
  </r>
  <r>
    <s v="ID000559"/>
    <x v="3"/>
    <x v="3"/>
    <s v="Dataverse"/>
    <x v="0"/>
    <n v="5"/>
    <n v="42000"/>
    <d v="2017-06-17T00:00:00"/>
    <n v="1"/>
    <x v="1"/>
    <n v="2"/>
    <n v="4.761904761904762E-5"/>
    <b v="0"/>
    <b v="0"/>
    <x v="1"/>
    <n v="0.21428571428571427"/>
    <n v="0"/>
    <n v="0.12857142857142856"/>
  </r>
  <r>
    <s v="ID000571"/>
    <x v="1"/>
    <x v="1"/>
    <s v="Dataverse"/>
    <x v="0"/>
    <n v="8"/>
    <n v="21000"/>
    <d v="2006-07-19T00:00:00"/>
    <n v="1"/>
    <x v="0"/>
    <n v="1"/>
    <n v="4.761904761904762E-5"/>
    <b v="0"/>
    <b v="1"/>
    <x v="1"/>
    <n v="0.21428571428571427"/>
    <n v="0"/>
    <n v="0.12857142857142856"/>
  </r>
  <r>
    <s v="ID000575"/>
    <x v="1"/>
    <x v="1"/>
    <s v="Dataverse"/>
    <x v="0"/>
    <n v="18"/>
    <n v="21000"/>
    <d v="2012-09-23T00:00:00"/>
    <n v="1"/>
    <x v="0"/>
    <n v="1"/>
    <n v="4.761904761904762E-5"/>
    <b v="1"/>
    <b v="1"/>
    <x v="1"/>
    <n v="0.21428571428571427"/>
    <n v="0"/>
    <n v="0.12857142857142856"/>
  </r>
  <r>
    <s v="ID000620"/>
    <x v="1"/>
    <x v="1"/>
    <s v="Technova"/>
    <x v="1"/>
    <n v="22"/>
    <n v="21000"/>
    <d v="2023-10-30T00:00:00"/>
    <n v="1"/>
    <x v="0"/>
    <n v="1"/>
    <n v="4.761904761904762E-5"/>
    <b v="1"/>
    <b v="1"/>
    <x v="1"/>
    <n v="0.21428571428571427"/>
    <n v="0"/>
    <n v="0.12857142857142856"/>
  </r>
  <r>
    <s v="ID000748"/>
    <x v="3"/>
    <x v="3"/>
    <s v="Technova"/>
    <x v="1"/>
    <n v="5"/>
    <n v="42000"/>
    <d v="2013-05-07T00:00:00"/>
    <n v="1"/>
    <x v="1"/>
    <n v="2"/>
    <n v="4.761904761904762E-5"/>
    <b v="0"/>
    <b v="0"/>
    <x v="1"/>
    <n v="0.21428571428571427"/>
    <n v="0"/>
    <n v="0.12857142857142856"/>
  </r>
  <r>
    <s v="ID000942"/>
    <x v="4"/>
    <x v="4"/>
    <s v="Technova"/>
    <x v="1"/>
    <n v="13"/>
    <n v="42000"/>
    <d v="2005-11-24T00:00:00"/>
    <n v="1"/>
    <x v="1"/>
    <n v="2"/>
    <n v="4.761904761904762E-5"/>
    <b v="0"/>
    <b v="1"/>
    <x v="1"/>
    <n v="0.21428571428571427"/>
    <n v="0"/>
    <n v="0.12857142857142856"/>
  </r>
  <r>
    <s v="ID000198"/>
    <x v="8"/>
    <x v="8"/>
    <s v="Dataverse"/>
    <x v="0"/>
    <n v="13"/>
    <n v="64000"/>
    <d v="2022-02-24T00:00:00"/>
    <n v="1"/>
    <x v="2"/>
    <n v="3"/>
    <n v="4.6875000000000001E-5"/>
    <b v="0"/>
    <b v="1"/>
    <x v="1"/>
    <n v="0.20312499999999997"/>
    <n v="0"/>
    <n v="0.12187499999999998"/>
  </r>
  <r>
    <s v="ID000414"/>
    <x v="9"/>
    <x v="9"/>
    <s v="Technova"/>
    <x v="1"/>
    <n v="5"/>
    <n v="64000"/>
    <d v="2015-12-10T00:00:00"/>
    <n v="1"/>
    <x v="2"/>
    <n v="3"/>
    <n v="4.6875000000000001E-5"/>
    <b v="0"/>
    <b v="0"/>
    <x v="1"/>
    <n v="0.20312499999999997"/>
    <n v="0"/>
    <n v="0.12187499999999998"/>
  </r>
  <r>
    <s v="ID000675"/>
    <x v="1"/>
    <x v="1"/>
    <s v="Dataverse"/>
    <x v="0"/>
    <n v="8"/>
    <n v="28000"/>
    <d v="2006-10-16T00:00:00"/>
    <n v="2"/>
    <x v="0"/>
    <n v="1"/>
    <n v="3.5714285714285717E-5"/>
    <b v="0"/>
    <b v="1"/>
    <x v="1"/>
    <n v="3.5714285714285726E-2"/>
    <n v="0.25"/>
    <n v="0.12142857142857144"/>
  </r>
  <r>
    <s v="ID000913"/>
    <x v="1"/>
    <x v="1"/>
    <s v="Technova"/>
    <x v="1"/>
    <n v="2"/>
    <n v="28000"/>
    <d v="2023-02-19T00:00:00"/>
    <n v="2"/>
    <x v="0"/>
    <n v="1"/>
    <n v="3.5714285714285717E-5"/>
    <b v="0"/>
    <b v="0"/>
    <x v="1"/>
    <n v="3.5714285714285726E-2"/>
    <n v="0.25"/>
    <n v="0.12142857142857144"/>
  </r>
  <r>
    <s v="ID000434"/>
    <x v="2"/>
    <x v="2"/>
    <s v="Technova"/>
    <x v="1"/>
    <n v="24"/>
    <n v="43000"/>
    <d v="2015-08-17T00:00:00"/>
    <n v="1"/>
    <x v="1"/>
    <n v="2"/>
    <n v="4.6511627906976741E-5"/>
    <b v="1"/>
    <b v="1"/>
    <x v="1"/>
    <n v="0.1976744186046511"/>
    <n v="0"/>
    <n v="0.11860465116279065"/>
  </r>
  <r>
    <s v="ID000438"/>
    <x v="2"/>
    <x v="2"/>
    <s v="Technova"/>
    <x v="1"/>
    <n v="22"/>
    <n v="43000"/>
    <d v="2024-02-18T00:00:00"/>
    <n v="1"/>
    <x v="1"/>
    <n v="2"/>
    <n v="4.6511627906976741E-5"/>
    <b v="1"/>
    <b v="1"/>
    <x v="1"/>
    <n v="0.1976744186046511"/>
    <n v="0"/>
    <n v="0.11860465116279065"/>
  </r>
  <r>
    <s v="ID000764"/>
    <x v="3"/>
    <x v="3"/>
    <s v="Technova"/>
    <x v="1"/>
    <n v="2"/>
    <n v="43000"/>
    <d v="2020-09-22T00:00:00"/>
    <n v="1"/>
    <x v="1"/>
    <n v="2"/>
    <n v="4.6511627906976741E-5"/>
    <b v="0"/>
    <b v="0"/>
    <x v="1"/>
    <n v="0.1976744186046511"/>
    <n v="0"/>
    <n v="0.11860465116279065"/>
  </r>
  <r>
    <s v="ID000001"/>
    <x v="8"/>
    <x v="8"/>
    <s v="Technova"/>
    <x v="1"/>
    <n v="16"/>
    <n v="65000"/>
    <d v="2017-04-12T00:00:00"/>
    <n v="1"/>
    <x v="2"/>
    <n v="3"/>
    <n v="4.6153846153846151E-5"/>
    <b v="1"/>
    <b v="1"/>
    <x v="1"/>
    <n v="0.19230769230769224"/>
    <n v="0"/>
    <n v="0.11538461538461534"/>
  </r>
  <r>
    <s v="ID000706"/>
    <x v="5"/>
    <x v="5"/>
    <s v="Technova"/>
    <x v="1"/>
    <n v="23"/>
    <n v="65000"/>
    <d v="2009-01-24T00:00:00"/>
    <n v="1"/>
    <x v="2"/>
    <n v="3"/>
    <n v="4.6153846153846151E-5"/>
    <b v="1"/>
    <b v="1"/>
    <x v="1"/>
    <n v="0.19230769230769224"/>
    <n v="0"/>
    <n v="0.11538461538461534"/>
  </r>
  <r>
    <s v="ID000801"/>
    <x v="5"/>
    <x v="5"/>
    <s v="Dataverse"/>
    <x v="0"/>
    <n v="4"/>
    <n v="65000"/>
    <d v="2010-05-29T00:00:00"/>
    <n v="1"/>
    <x v="2"/>
    <n v="3"/>
    <n v="4.6153846153846151E-5"/>
    <b v="0"/>
    <b v="0"/>
    <x v="1"/>
    <n v="0.19230769230769224"/>
    <n v="0"/>
    <n v="0.11538461538461534"/>
  </r>
  <r>
    <s v="ID000129"/>
    <x v="8"/>
    <x v="8"/>
    <s v="Technova"/>
    <x v="1"/>
    <n v="10"/>
    <n v="86000"/>
    <d v="2019-07-20T00:00:00"/>
    <n v="2"/>
    <x v="2"/>
    <n v="3"/>
    <n v="3.4883720930232556E-5"/>
    <b v="0"/>
    <b v="1"/>
    <x v="1"/>
    <n v="2.3255813953488316E-2"/>
    <n v="0.25"/>
    <n v="0.113953488372093"/>
  </r>
  <r>
    <s v="ID000390"/>
    <x v="0"/>
    <x v="0"/>
    <s v="Technova"/>
    <x v="1"/>
    <n v="22"/>
    <n v="29000"/>
    <d v="2022-04-16T00:00:00"/>
    <n v="2"/>
    <x v="0"/>
    <n v="1"/>
    <n v="3.4482758620689657E-5"/>
    <b v="1"/>
    <b v="1"/>
    <x v="1"/>
    <n v="1.7241379310344824E-2"/>
    <n v="0.25"/>
    <n v="0.1103448275862069"/>
  </r>
  <r>
    <s v="ID000918"/>
    <x v="5"/>
    <x v="5"/>
    <s v="Dataverse"/>
    <x v="0"/>
    <n v="18"/>
    <n v="87000"/>
    <d v="2023-12-01T00:00:00"/>
    <n v="2"/>
    <x v="2"/>
    <n v="3"/>
    <n v="3.4482758620689657E-5"/>
    <b v="1"/>
    <b v="1"/>
    <x v="1"/>
    <n v="1.7241379310344824E-2"/>
    <n v="0.25"/>
    <n v="0.1103448275862069"/>
  </r>
  <r>
    <s v="ID000958"/>
    <x v="1"/>
    <x v="1"/>
    <s v="Technova"/>
    <x v="1"/>
    <n v="21"/>
    <n v="29000"/>
    <d v="2023-06-21T00:00:00"/>
    <n v="2"/>
    <x v="0"/>
    <n v="1"/>
    <n v="3.4482758620689657E-5"/>
    <b v="1"/>
    <b v="1"/>
    <x v="1"/>
    <n v="1.7241379310344824E-2"/>
    <n v="0.25"/>
    <n v="0.1103448275862069"/>
  </r>
  <r>
    <s v="ID000967"/>
    <x v="5"/>
    <x v="5"/>
    <s v="Dataverse"/>
    <x v="0"/>
    <n v="15"/>
    <n v="87000"/>
    <d v="2016-03-03T00:00:00"/>
    <n v="2"/>
    <x v="2"/>
    <n v="3"/>
    <n v="3.4482758620689657E-5"/>
    <b v="0"/>
    <b v="1"/>
    <x v="1"/>
    <n v="1.7241379310344824E-2"/>
    <n v="0.25"/>
    <n v="0.1103448275862069"/>
  </r>
  <r>
    <s v="ID000267"/>
    <x v="6"/>
    <x v="6"/>
    <s v="Technova"/>
    <x v="1"/>
    <n v="9"/>
    <n v="44000"/>
    <d v="2024-03-12T00:00:00"/>
    <n v="1"/>
    <x v="1"/>
    <n v="2"/>
    <n v="4.5454545454545452E-5"/>
    <b v="0"/>
    <b v="1"/>
    <x v="1"/>
    <n v="0.18181818181818174"/>
    <n v="0"/>
    <n v="0.10909090909090904"/>
  </r>
  <r>
    <s v="ID000472"/>
    <x v="2"/>
    <x v="2"/>
    <s v="Dataverse"/>
    <x v="0"/>
    <n v="22"/>
    <n v="44000"/>
    <d v="2007-08-03T00:00:00"/>
    <n v="1"/>
    <x v="1"/>
    <n v="2"/>
    <n v="4.5454545454545452E-5"/>
    <b v="1"/>
    <b v="1"/>
    <x v="1"/>
    <n v="0.18181818181818174"/>
    <n v="0"/>
    <n v="0.10909090909090904"/>
  </r>
  <r>
    <s v="ID000573"/>
    <x v="1"/>
    <x v="1"/>
    <s v="Dataverse"/>
    <x v="0"/>
    <n v="9"/>
    <n v="22000"/>
    <d v="2021-02-01T00:00:00"/>
    <n v="1"/>
    <x v="0"/>
    <n v="1"/>
    <n v="4.5454545454545452E-5"/>
    <b v="0"/>
    <b v="1"/>
    <x v="1"/>
    <n v="0.18181818181818174"/>
    <n v="0"/>
    <n v="0.10909090909090904"/>
  </r>
  <r>
    <s v="ID000697"/>
    <x v="5"/>
    <x v="5"/>
    <s v="Technova"/>
    <x v="1"/>
    <n v="17"/>
    <n v="66000"/>
    <d v="2023-06-09T00:00:00"/>
    <n v="1"/>
    <x v="2"/>
    <n v="3"/>
    <n v="4.5454545454545452E-5"/>
    <b v="1"/>
    <b v="1"/>
    <x v="1"/>
    <n v="0.18181818181818174"/>
    <n v="0"/>
    <n v="0.10909090909090904"/>
  </r>
  <r>
    <s v="ID000865"/>
    <x v="3"/>
    <x v="3"/>
    <s v="Dataverse"/>
    <x v="0"/>
    <n v="22"/>
    <n v="44000"/>
    <d v="2011-01-25T00:00:00"/>
    <n v="1"/>
    <x v="1"/>
    <n v="2"/>
    <n v="4.5454545454545452E-5"/>
    <b v="1"/>
    <b v="1"/>
    <x v="1"/>
    <n v="0.18181818181818174"/>
    <n v="0"/>
    <n v="0.10909090909090904"/>
  </r>
  <r>
    <s v="ID000895"/>
    <x v="1"/>
    <x v="1"/>
    <s v="Dataverse"/>
    <x v="0"/>
    <n v="18"/>
    <n v="22000"/>
    <d v="2012-03-25T00:00:00"/>
    <n v="1"/>
    <x v="0"/>
    <n v="1"/>
    <n v="4.5454545454545452E-5"/>
    <b v="1"/>
    <b v="1"/>
    <x v="1"/>
    <n v="0.18181818181818174"/>
    <n v="0"/>
    <n v="0.10909090909090904"/>
  </r>
  <r>
    <s v="ID000250"/>
    <x v="9"/>
    <x v="9"/>
    <s v="Technova"/>
    <x v="1"/>
    <n v="13"/>
    <n v="88000"/>
    <d v="2007-07-15T00:00:00"/>
    <n v="2"/>
    <x v="2"/>
    <n v="3"/>
    <n v="3.4090909090909092E-5"/>
    <b v="0"/>
    <b v="1"/>
    <x v="1"/>
    <n v="1.1363636363636359E-2"/>
    <n v="0.25"/>
    <n v="0.10681818181818183"/>
  </r>
  <r>
    <s v="ID000328"/>
    <x v="9"/>
    <x v="9"/>
    <s v="Dataverse"/>
    <x v="0"/>
    <n v="14"/>
    <n v="88000"/>
    <d v="2018-09-03T00:00:00"/>
    <n v="2"/>
    <x v="2"/>
    <n v="3"/>
    <n v="3.4090909090909092E-5"/>
    <b v="0"/>
    <b v="1"/>
    <x v="1"/>
    <n v="1.1363636363636359E-2"/>
    <n v="0.25"/>
    <n v="0.10681818181818183"/>
  </r>
  <r>
    <s v="ID000811"/>
    <x v="5"/>
    <x v="5"/>
    <s v="Dataverse"/>
    <x v="0"/>
    <n v="25"/>
    <n v="88000"/>
    <d v="2019-07-28T00:00:00"/>
    <n v="2"/>
    <x v="2"/>
    <n v="3"/>
    <n v="3.4090909090909092E-5"/>
    <b v="1"/>
    <b v="1"/>
    <x v="1"/>
    <n v="1.1363636363636359E-2"/>
    <n v="0.25"/>
    <n v="0.10681818181818183"/>
  </r>
  <r>
    <s v="ID000259"/>
    <x v="9"/>
    <x v="9"/>
    <s v="Technova"/>
    <x v="1"/>
    <n v="20"/>
    <n v="89000"/>
    <d v="2012-12-31T00:00:00"/>
    <n v="2"/>
    <x v="2"/>
    <n v="3"/>
    <n v="3.3707865168539323E-5"/>
    <b v="1"/>
    <b v="1"/>
    <x v="1"/>
    <n v="5.6179775280898224E-3"/>
    <n v="0.25"/>
    <n v="0.1033707865168539"/>
  </r>
  <r>
    <s v="ID000484"/>
    <x v="9"/>
    <x v="9"/>
    <s v="Technova"/>
    <x v="1"/>
    <n v="11"/>
    <n v="89000"/>
    <d v="2018-09-17T00:00:00"/>
    <n v="2"/>
    <x v="2"/>
    <n v="3"/>
    <n v="3.3707865168539323E-5"/>
    <b v="0"/>
    <b v="1"/>
    <x v="1"/>
    <n v="5.6179775280898224E-3"/>
    <n v="0.25"/>
    <n v="0.1033707865168539"/>
  </r>
  <r>
    <s v="ID000802"/>
    <x v="5"/>
    <x v="5"/>
    <s v="Dataverse"/>
    <x v="0"/>
    <n v="6"/>
    <n v="89000"/>
    <d v="2013-11-05T00:00:00"/>
    <n v="2"/>
    <x v="2"/>
    <n v="3"/>
    <n v="3.3707865168539323E-5"/>
    <b v="0"/>
    <b v="1"/>
    <x v="1"/>
    <n v="5.6179775280898224E-3"/>
    <n v="0.25"/>
    <n v="0.1033707865168539"/>
  </r>
  <r>
    <s v="ID000040"/>
    <x v="0"/>
    <x v="0"/>
    <s v="Technova"/>
    <x v="1"/>
    <n v="11"/>
    <n v="30000"/>
    <d v="2019-09-09T00:00:00"/>
    <n v="2"/>
    <x v="0"/>
    <n v="1"/>
    <n v="3.3333333333333335E-5"/>
    <b v="0"/>
    <b v="1"/>
    <x v="1"/>
    <n v="0"/>
    <n v="0.25"/>
    <n v="0.1"/>
  </r>
  <r>
    <s v="ID000527"/>
    <x v="0"/>
    <x v="0"/>
    <s v="Technova"/>
    <x v="1"/>
    <n v="8"/>
    <n v="30000"/>
    <d v="2012-02-09T00:00:00"/>
    <n v="2"/>
    <x v="0"/>
    <n v="1"/>
    <n v="3.3333333333333335E-5"/>
    <b v="0"/>
    <b v="1"/>
    <x v="1"/>
    <n v="0"/>
    <n v="0.25"/>
    <n v="0.1"/>
  </r>
  <r>
    <s v="ID000010"/>
    <x v="5"/>
    <x v="5"/>
    <s v="Technova"/>
    <x v="1"/>
    <n v="9"/>
    <n v="45000"/>
    <d v="2010-09-06T00:00:00"/>
    <n v="1"/>
    <x v="1"/>
    <n v="2"/>
    <n v="4.4444444444444447E-5"/>
    <b v="0"/>
    <b v="1"/>
    <x v="1"/>
    <n v="0.16666666666666666"/>
    <n v="0"/>
    <n v="9.9999999999999992E-2"/>
  </r>
  <r>
    <s v="ID000098"/>
    <x v="7"/>
    <x v="7"/>
    <s v="Dataverse"/>
    <x v="0"/>
    <n v="7"/>
    <n v="45000"/>
    <d v="2011-01-01T00:00:00"/>
    <n v="1"/>
    <x v="1"/>
    <n v="2"/>
    <n v="4.4444444444444447E-5"/>
    <b v="0"/>
    <b v="1"/>
    <x v="1"/>
    <n v="0.16666666666666666"/>
    <n v="0"/>
    <n v="9.9999999999999992E-2"/>
  </r>
  <r>
    <s v="ID000153"/>
    <x v="7"/>
    <x v="7"/>
    <s v="Technova"/>
    <x v="1"/>
    <n v="4"/>
    <n v="45000"/>
    <d v="2017-04-05T00:00:00"/>
    <n v="1"/>
    <x v="1"/>
    <n v="2"/>
    <n v="4.4444444444444447E-5"/>
    <b v="0"/>
    <b v="0"/>
    <x v="1"/>
    <n v="0.16666666666666666"/>
    <n v="0"/>
    <n v="9.9999999999999992E-2"/>
  </r>
  <r>
    <s v="ID000210"/>
    <x v="7"/>
    <x v="7"/>
    <s v="Dataverse"/>
    <x v="0"/>
    <n v="3"/>
    <n v="45000"/>
    <d v="2010-12-12T00:00:00"/>
    <n v="1"/>
    <x v="1"/>
    <n v="2"/>
    <n v="4.4444444444444447E-5"/>
    <b v="0"/>
    <b v="0"/>
    <x v="1"/>
    <n v="0.16666666666666666"/>
    <n v="0"/>
    <n v="9.9999999999999992E-2"/>
  </r>
  <r>
    <s v="ID000231"/>
    <x v="6"/>
    <x v="6"/>
    <s v="Dataverse"/>
    <x v="0"/>
    <n v="12"/>
    <n v="45000"/>
    <d v="2022-02-17T00:00:00"/>
    <n v="1"/>
    <x v="1"/>
    <n v="2"/>
    <n v="4.4444444444444447E-5"/>
    <b v="0"/>
    <b v="1"/>
    <x v="1"/>
    <n v="0.16666666666666666"/>
    <n v="0"/>
    <n v="9.9999999999999992E-2"/>
  </r>
  <r>
    <s v="ID000376"/>
    <x v="2"/>
    <x v="2"/>
    <s v="Technova"/>
    <x v="1"/>
    <n v="23"/>
    <n v="45000"/>
    <d v="2017-03-06T00:00:00"/>
    <n v="1"/>
    <x v="1"/>
    <n v="2"/>
    <n v="4.4444444444444447E-5"/>
    <b v="1"/>
    <b v="1"/>
    <x v="1"/>
    <n v="0.16666666666666666"/>
    <n v="0"/>
    <n v="9.9999999999999992E-2"/>
  </r>
  <r>
    <s v="ID000251"/>
    <x v="9"/>
    <x v="9"/>
    <s v="Technova"/>
    <x v="1"/>
    <n v="21"/>
    <n v="68000"/>
    <d v="2022-06-15T00:00:00"/>
    <n v="1"/>
    <x v="2"/>
    <n v="3"/>
    <n v="4.4117647058823532E-5"/>
    <b v="1"/>
    <b v="1"/>
    <x v="1"/>
    <n v="0.16176470588235295"/>
    <n v="0"/>
    <n v="9.7058823529411767E-2"/>
  </r>
  <r>
    <s v="ID000012"/>
    <x v="5"/>
    <x v="5"/>
    <s v="Technova"/>
    <x v="1"/>
    <n v="17"/>
    <n v="46000"/>
    <d v="2024-02-07T00:00:00"/>
    <n v="1"/>
    <x v="1"/>
    <n v="2"/>
    <n v="4.347826086956522E-5"/>
    <b v="1"/>
    <b v="1"/>
    <x v="1"/>
    <n v="0.15217391304347827"/>
    <n v="0"/>
    <n v="9.1304347826086957E-2"/>
  </r>
  <r>
    <s v="ID000205"/>
    <x v="7"/>
    <x v="7"/>
    <s v="Dataverse"/>
    <x v="0"/>
    <n v="10"/>
    <n v="46000"/>
    <d v="2014-10-13T00:00:00"/>
    <n v="1"/>
    <x v="1"/>
    <n v="2"/>
    <n v="4.347826086956522E-5"/>
    <b v="0"/>
    <b v="1"/>
    <x v="1"/>
    <n v="0.15217391304347827"/>
    <n v="0"/>
    <n v="9.1304347826086957E-2"/>
  </r>
  <r>
    <s v="ID000271"/>
    <x v="6"/>
    <x v="6"/>
    <s v="Technova"/>
    <x v="1"/>
    <n v="13"/>
    <n v="46000"/>
    <d v="2004-10-31T00:00:00"/>
    <n v="1"/>
    <x v="1"/>
    <n v="2"/>
    <n v="4.347826086956522E-5"/>
    <b v="0"/>
    <b v="1"/>
    <x v="1"/>
    <n v="0.15217391304347827"/>
    <n v="0"/>
    <n v="9.1304347826086957E-2"/>
  </r>
  <r>
    <s v="ID000520"/>
    <x v="0"/>
    <x v="0"/>
    <s v="Technova"/>
    <x v="1"/>
    <n v="10"/>
    <n v="23000"/>
    <d v="2019-02-16T00:00:00"/>
    <n v="1"/>
    <x v="0"/>
    <n v="1"/>
    <n v="4.347826086956522E-5"/>
    <b v="0"/>
    <b v="1"/>
    <x v="1"/>
    <n v="0.15217391304347827"/>
    <n v="0"/>
    <n v="9.1304347826086957E-2"/>
  </r>
  <r>
    <s v="ID000569"/>
    <x v="1"/>
    <x v="1"/>
    <s v="Dataverse"/>
    <x v="0"/>
    <n v="12"/>
    <n v="23000"/>
    <d v="2011-12-23T00:00:00"/>
    <n v="1"/>
    <x v="0"/>
    <n v="1"/>
    <n v="4.347826086956522E-5"/>
    <b v="0"/>
    <b v="1"/>
    <x v="1"/>
    <n v="0.15217391304347827"/>
    <n v="0"/>
    <n v="9.1304347826086957E-2"/>
  </r>
  <r>
    <s v="ID000617"/>
    <x v="1"/>
    <x v="1"/>
    <s v="Technova"/>
    <x v="1"/>
    <n v="13"/>
    <n v="23000"/>
    <d v="2009-03-01T00:00:00"/>
    <n v="1"/>
    <x v="0"/>
    <n v="1"/>
    <n v="4.347826086956522E-5"/>
    <b v="0"/>
    <b v="1"/>
    <x v="1"/>
    <n v="0.15217391304347827"/>
    <n v="0"/>
    <n v="9.1304347826086957E-2"/>
  </r>
  <r>
    <s v="ID000709"/>
    <x v="5"/>
    <x v="5"/>
    <s v="Technova"/>
    <x v="1"/>
    <n v="24"/>
    <n v="69000"/>
    <d v="2019-01-24T00:00:00"/>
    <n v="1"/>
    <x v="2"/>
    <n v="3"/>
    <n v="4.347826086956522E-5"/>
    <b v="1"/>
    <b v="1"/>
    <x v="1"/>
    <n v="0.15217391304347827"/>
    <n v="0"/>
    <n v="9.1304347826086957E-2"/>
  </r>
  <r>
    <s v="ID000638"/>
    <x v="5"/>
    <x v="5"/>
    <s v="Dataverse"/>
    <x v="0"/>
    <n v="19"/>
    <n v="70000"/>
    <d v="2020-04-17T00:00:00"/>
    <n v="1"/>
    <x v="2"/>
    <n v="3"/>
    <n v="4.2857142857142856E-5"/>
    <b v="1"/>
    <b v="1"/>
    <x v="1"/>
    <n v="0.14285714285714282"/>
    <n v="0"/>
    <n v="8.5714285714285687E-2"/>
  </r>
  <r>
    <s v="ID000081"/>
    <x v="5"/>
    <x v="5"/>
    <s v="Dataverse"/>
    <x v="0"/>
    <n v="20"/>
    <n v="47000"/>
    <d v="2007-11-04T00:00:00"/>
    <n v="1"/>
    <x v="1"/>
    <n v="2"/>
    <n v="4.2553191489361704E-5"/>
    <b v="1"/>
    <b v="1"/>
    <x v="1"/>
    <n v="0.13829787234042554"/>
    <n v="0"/>
    <n v="8.2978723404255314E-2"/>
  </r>
  <r>
    <s v="ID000664"/>
    <x v="3"/>
    <x v="3"/>
    <s v="Dataverse"/>
    <x v="0"/>
    <n v="6"/>
    <n v="47000"/>
    <d v="2013-07-11T00:00:00"/>
    <n v="1"/>
    <x v="1"/>
    <n v="2"/>
    <n v="4.2553191489361704E-5"/>
    <b v="0"/>
    <b v="1"/>
    <x v="1"/>
    <n v="0.13829787234042554"/>
    <n v="0"/>
    <n v="8.2978723404255314E-2"/>
  </r>
  <r>
    <s v="ID000905"/>
    <x v="4"/>
    <x v="4"/>
    <s v="Technova"/>
    <x v="1"/>
    <n v="10"/>
    <n v="47000"/>
    <d v="2015-07-21T00:00:00"/>
    <n v="1"/>
    <x v="1"/>
    <n v="2"/>
    <n v="4.2553191489361704E-5"/>
    <b v="0"/>
    <b v="1"/>
    <x v="1"/>
    <n v="0.13829787234042554"/>
    <n v="0"/>
    <n v="8.2978723404255314E-2"/>
  </r>
  <r>
    <s v="ID000977"/>
    <x v="4"/>
    <x v="4"/>
    <s v="Dataverse"/>
    <x v="0"/>
    <n v="14"/>
    <n v="47000"/>
    <d v="2019-02-14T00:00:00"/>
    <n v="1"/>
    <x v="1"/>
    <n v="2"/>
    <n v="4.2553191489361704E-5"/>
    <b v="0"/>
    <b v="1"/>
    <x v="1"/>
    <n v="0.13829787234042554"/>
    <n v="0"/>
    <n v="8.2978723404255314E-2"/>
  </r>
  <r>
    <s v="ID000636"/>
    <x v="5"/>
    <x v="5"/>
    <s v="Dataverse"/>
    <x v="0"/>
    <n v="4"/>
    <n v="71000"/>
    <d v="2023-05-05T00:00:00"/>
    <n v="1"/>
    <x v="2"/>
    <n v="3"/>
    <n v="4.2253521126760563E-5"/>
    <b v="0"/>
    <b v="0"/>
    <x v="1"/>
    <n v="0.13380281690140841"/>
    <n v="0"/>
    <n v="8.0281690140845047E-2"/>
  </r>
  <r>
    <s v="ID000046"/>
    <x v="0"/>
    <x v="0"/>
    <s v="Technova"/>
    <x v="1"/>
    <n v="15"/>
    <n v="24000"/>
    <d v="2012-12-10T00:00:00"/>
    <n v="1"/>
    <x v="0"/>
    <n v="1"/>
    <n v="4.1666666666666665E-5"/>
    <b v="0"/>
    <b v="1"/>
    <x v="1"/>
    <n v="0.12499999999999994"/>
    <n v="0"/>
    <n v="7.4999999999999969E-2"/>
  </r>
  <r>
    <s v="ID000066"/>
    <x v="5"/>
    <x v="5"/>
    <s v="Dataverse"/>
    <x v="0"/>
    <n v="1"/>
    <n v="48000"/>
    <d v="2008-04-01T00:00:00"/>
    <n v="1"/>
    <x v="1"/>
    <n v="2"/>
    <n v="4.1666666666666665E-5"/>
    <b v="0"/>
    <b v="0"/>
    <x v="1"/>
    <n v="0.12499999999999994"/>
    <n v="0"/>
    <n v="7.4999999999999969E-2"/>
  </r>
  <r>
    <s v="ID000213"/>
    <x v="7"/>
    <x v="7"/>
    <s v="Dataverse"/>
    <x v="0"/>
    <n v="16"/>
    <n v="48000"/>
    <d v="2010-06-06T00:00:00"/>
    <n v="1"/>
    <x v="1"/>
    <n v="2"/>
    <n v="4.1666666666666665E-5"/>
    <b v="1"/>
    <b v="1"/>
    <x v="1"/>
    <n v="0.12499999999999994"/>
    <n v="0"/>
    <n v="7.4999999999999969E-2"/>
  </r>
  <r>
    <s v="ID000230"/>
    <x v="7"/>
    <x v="7"/>
    <s v="Dataverse"/>
    <x v="0"/>
    <n v="20"/>
    <n v="48000"/>
    <d v="2014-07-27T00:00:00"/>
    <n v="1"/>
    <x v="1"/>
    <n v="2"/>
    <n v="4.1666666666666665E-5"/>
    <b v="1"/>
    <b v="1"/>
    <x v="1"/>
    <n v="0.12499999999999994"/>
    <n v="0"/>
    <n v="7.4999999999999969E-2"/>
  </r>
  <r>
    <s v="ID000260"/>
    <x v="9"/>
    <x v="9"/>
    <s v="Technova"/>
    <x v="1"/>
    <n v="13"/>
    <n v="72000"/>
    <d v="2011-04-30T00:00:00"/>
    <n v="1"/>
    <x v="2"/>
    <n v="3"/>
    <n v="4.1666666666666665E-5"/>
    <b v="0"/>
    <b v="1"/>
    <x v="1"/>
    <n v="0.12499999999999994"/>
    <n v="0"/>
    <n v="7.4999999999999969E-2"/>
  </r>
  <r>
    <s v="ID000325"/>
    <x v="9"/>
    <x v="9"/>
    <s v="Dataverse"/>
    <x v="0"/>
    <n v="4"/>
    <n v="72000"/>
    <d v="2012-02-01T00:00:00"/>
    <n v="1"/>
    <x v="2"/>
    <n v="3"/>
    <n v="4.1666666666666665E-5"/>
    <b v="0"/>
    <b v="0"/>
    <x v="1"/>
    <n v="0.12499999999999994"/>
    <n v="0"/>
    <n v="7.4999999999999969E-2"/>
  </r>
  <r>
    <s v="ID000364"/>
    <x v="0"/>
    <x v="0"/>
    <s v="Dataverse"/>
    <x v="0"/>
    <n v="6"/>
    <n v="24000"/>
    <d v="2014-10-18T00:00:00"/>
    <n v="1"/>
    <x v="0"/>
    <n v="1"/>
    <n v="4.1666666666666665E-5"/>
    <b v="0"/>
    <b v="1"/>
    <x v="1"/>
    <n v="0.12499999999999994"/>
    <n v="0"/>
    <n v="7.4999999999999969E-2"/>
  </r>
  <r>
    <s v="ID000416"/>
    <x v="9"/>
    <x v="9"/>
    <s v="Technova"/>
    <x v="1"/>
    <n v="23"/>
    <n v="72000"/>
    <d v="2012-03-11T00:00:00"/>
    <n v="1"/>
    <x v="2"/>
    <n v="3"/>
    <n v="4.1666666666666665E-5"/>
    <b v="1"/>
    <b v="1"/>
    <x v="1"/>
    <n v="0.12499999999999994"/>
    <n v="0"/>
    <n v="7.4999999999999969E-2"/>
  </r>
  <r>
    <s v="ID000625"/>
    <x v="1"/>
    <x v="1"/>
    <s v="Technova"/>
    <x v="1"/>
    <n v="13"/>
    <n v="24000"/>
    <d v="2017-12-26T00:00:00"/>
    <n v="1"/>
    <x v="0"/>
    <n v="1"/>
    <n v="4.1666666666666665E-5"/>
    <b v="0"/>
    <b v="1"/>
    <x v="1"/>
    <n v="0.12499999999999994"/>
    <n v="0"/>
    <n v="7.4999999999999969E-2"/>
  </r>
  <r>
    <s v="ID000805"/>
    <x v="5"/>
    <x v="5"/>
    <s v="Dataverse"/>
    <x v="0"/>
    <n v="23"/>
    <n v="73000"/>
    <d v="2024-01-20T00:00:00"/>
    <n v="1"/>
    <x v="2"/>
    <n v="3"/>
    <n v="4.1095890410958905E-5"/>
    <b v="1"/>
    <b v="1"/>
    <x v="1"/>
    <n v="0.11643835616438356"/>
    <n v="0"/>
    <n v="6.9863013698630128E-2"/>
  </r>
  <r>
    <s v="ID000078"/>
    <x v="5"/>
    <x v="5"/>
    <s v="Dataverse"/>
    <x v="0"/>
    <n v="12"/>
    <n v="49000"/>
    <d v="2009-09-01T00:00:00"/>
    <n v="1"/>
    <x v="1"/>
    <n v="2"/>
    <n v="4.0816326530612245E-5"/>
    <b v="0"/>
    <b v="1"/>
    <x v="1"/>
    <n v="0.11224489795918365"/>
    <n v="0"/>
    <n v="6.7346938775510179E-2"/>
  </r>
  <r>
    <s v="ID000172"/>
    <x v="7"/>
    <x v="7"/>
    <s v="Technova"/>
    <x v="1"/>
    <n v="25"/>
    <n v="49000"/>
    <d v="2017-04-19T00:00:00"/>
    <n v="1"/>
    <x v="1"/>
    <n v="2"/>
    <n v="4.0816326530612245E-5"/>
    <b v="1"/>
    <b v="1"/>
    <x v="1"/>
    <n v="0.11224489795918365"/>
    <n v="0"/>
    <n v="6.7346938775510179E-2"/>
  </r>
  <r>
    <s v="ID000538"/>
    <x v="2"/>
    <x v="2"/>
    <s v="Dataverse"/>
    <x v="0"/>
    <n v="8"/>
    <n v="49000"/>
    <d v="2019-05-31T00:00:00"/>
    <n v="1"/>
    <x v="1"/>
    <n v="2"/>
    <n v="4.0816326530612245E-5"/>
    <b v="0"/>
    <b v="1"/>
    <x v="1"/>
    <n v="0.11224489795918365"/>
    <n v="0"/>
    <n v="6.7346938775510179E-2"/>
  </r>
  <r>
    <s v="ID000605"/>
    <x v="3"/>
    <x v="3"/>
    <s v="Technova"/>
    <x v="1"/>
    <n v="20"/>
    <n v="49000"/>
    <d v="2019-01-22T00:00:00"/>
    <n v="1"/>
    <x v="1"/>
    <n v="2"/>
    <n v="4.0816326530612245E-5"/>
    <b v="1"/>
    <b v="1"/>
    <x v="1"/>
    <n v="0.11224489795918365"/>
    <n v="0"/>
    <n v="6.7346938775510179E-2"/>
  </r>
  <r>
    <s v="ID000645"/>
    <x v="3"/>
    <x v="3"/>
    <s v="Dataverse"/>
    <x v="0"/>
    <n v="1"/>
    <n v="49000"/>
    <d v="2014-05-19T00:00:00"/>
    <n v="1"/>
    <x v="1"/>
    <n v="2"/>
    <n v="4.0816326530612245E-5"/>
    <b v="0"/>
    <b v="0"/>
    <x v="1"/>
    <n v="0.11224489795918365"/>
    <n v="0"/>
    <n v="6.7346938775510179E-2"/>
  </r>
  <r>
    <s v="ID000769"/>
    <x v="3"/>
    <x v="3"/>
    <s v="Technova"/>
    <x v="1"/>
    <n v="3"/>
    <n v="49000"/>
    <d v="2023-08-01T00:00:00"/>
    <n v="1"/>
    <x v="1"/>
    <n v="2"/>
    <n v="4.0816326530612245E-5"/>
    <b v="0"/>
    <b v="0"/>
    <x v="1"/>
    <n v="0.11224489795918365"/>
    <n v="0"/>
    <n v="6.7346938775510179E-2"/>
  </r>
  <r>
    <s v="ID000857"/>
    <x v="3"/>
    <x v="3"/>
    <s v="Dataverse"/>
    <x v="0"/>
    <n v="1"/>
    <n v="49000"/>
    <d v="2010-11-12T00:00:00"/>
    <n v="1"/>
    <x v="1"/>
    <n v="2"/>
    <n v="4.0816326530612245E-5"/>
    <b v="0"/>
    <b v="0"/>
    <x v="1"/>
    <n v="0.11224489795918365"/>
    <n v="0"/>
    <n v="6.7346938775510179E-2"/>
  </r>
  <r>
    <s v="ID000871"/>
    <x v="4"/>
    <x v="4"/>
    <s v="Dataverse"/>
    <x v="0"/>
    <n v="3"/>
    <n v="49000"/>
    <d v="2008-02-15T00:00:00"/>
    <n v="1"/>
    <x v="1"/>
    <n v="2"/>
    <n v="4.0816326530612245E-5"/>
    <b v="0"/>
    <b v="0"/>
    <x v="1"/>
    <n v="0.11224489795918365"/>
    <n v="0"/>
    <n v="6.7346938775510179E-2"/>
  </r>
  <r>
    <s v="ID000976"/>
    <x v="4"/>
    <x v="4"/>
    <s v="Dataverse"/>
    <x v="0"/>
    <n v="12"/>
    <n v="49000"/>
    <d v="2008-06-07T00:00:00"/>
    <n v="1"/>
    <x v="1"/>
    <n v="2"/>
    <n v="4.0816326530612245E-5"/>
    <b v="0"/>
    <b v="1"/>
    <x v="1"/>
    <n v="0.11224489795918365"/>
    <n v="0"/>
    <n v="6.7346938775510179E-2"/>
  </r>
  <r>
    <s v="ID000980"/>
    <x v="4"/>
    <x v="4"/>
    <s v="Dataverse"/>
    <x v="0"/>
    <n v="11"/>
    <n v="49000"/>
    <d v="2016-12-20T00:00:00"/>
    <n v="1"/>
    <x v="1"/>
    <n v="2"/>
    <n v="4.0816326530612245E-5"/>
    <b v="0"/>
    <b v="1"/>
    <x v="1"/>
    <n v="0.11224489795918365"/>
    <n v="0"/>
    <n v="6.7346938775510179E-2"/>
  </r>
  <r>
    <s v="ID000090"/>
    <x v="7"/>
    <x v="7"/>
    <s v="Dataverse"/>
    <x v="0"/>
    <n v="7"/>
    <n v="50000"/>
    <d v="2015-05-14T00:00:00"/>
    <n v="1"/>
    <x v="1"/>
    <n v="2"/>
    <n v="4.0000000000000003E-5"/>
    <b v="0"/>
    <b v="1"/>
    <x v="1"/>
    <n v="0.10000000000000002"/>
    <n v="0"/>
    <n v="6.0000000000000012E-2"/>
  </r>
  <r>
    <s v="ID000114"/>
    <x v="0"/>
    <x v="0"/>
    <s v="Dataverse"/>
    <x v="0"/>
    <n v="6"/>
    <n v="25000"/>
    <d v="2010-09-17T00:00:00"/>
    <n v="1"/>
    <x v="0"/>
    <n v="1"/>
    <n v="4.0000000000000003E-5"/>
    <b v="0"/>
    <b v="1"/>
    <x v="1"/>
    <n v="0.10000000000000002"/>
    <n v="0"/>
    <n v="6.0000000000000012E-2"/>
  </r>
  <r>
    <s v="ID000136"/>
    <x v="7"/>
    <x v="7"/>
    <s v="Technova"/>
    <x v="1"/>
    <n v="23"/>
    <n v="50000"/>
    <d v="2023-01-14T00:00:00"/>
    <n v="1"/>
    <x v="1"/>
    <n v="2"/>
    <n v="4.0000000000000003E-5"/>
    <b v="1"/>
    <b v="1"/>
    <x v="1"/>
    <n v="0.10000000000000002"/>
    <n v="0"/>
    <n v="6.0000000000000012E-2"/>
  </r>
  <r>
    <s v="ID000215"/>
    <x v="7"/>
    <x v="7"/>
    <s v="Dataverse"/>
    <x v="0"/>
    <n v="22"/>
    <n v="50000"/>
    <d v="2008-05-11T00:00:00"/>
    <n v="1"/>
    <x v="1"/>
    <n v="2"/>
    <n v="4.0000000000000003E-5"/>
    <b v="1"/>
    <b v="1"/>
    <x v="1"/>
    <n v="0.10000000000000002"/>
    <n v="0"/>
    <n v="6.0000000000000012E-2"/>
  </r>
  <r>
    <s v="ID000297"/>
    <x v="6"/>
    <x v="6"/>
    <s v="Technova"/>
    <x v="1"/>
    <n v="7"/>
    <n v="50000"/>
    <d v="2022-06-26T00:00:00"/>
    <n v="1"/>
    <x v="1"/>
    <n v="2"/>
    <n v="4.0000000000000003E-5"/>
    <b v="0"/>
    <b v="1"/>
    <x v="1"/>
    <n v="0.10000000000000002"/>
    <n v="0"/>
    <n v="6.0000000000000012E-2"/>
  </r>
  <r>
    <s v="ID000304"/>
    <x v="6"/>
    <x v="6"/>
    <s v="Technova"/>
    <x v="1"/>
    <n v="2"/>
    <n v="50000"/>
    <d v="2011-06-13T00:00:00"/>
    <n v="1"/>
    <x v="1"/>
    <n v="2"/>
    <n v="4.0000000000000003E-5"/>
    <b v="0"/>
    <b v="0"/>
    <x v="1"/>
    <n v="0.10000000000000002"/>
    <n v="0"/>
    <n v="6.0000000000000012E-2"/>
  </r>
  <r>
    <s v="ID000425"/>
    <x v="2"/>
    <x v="2"/>
    <s v="Technova"/>
    <x v="1"/>
    <n v="11"/>
    <n v="50000"/>
    <d v="2012-01-10T00:00:00"/>
    <n v="1"/>
    <x v="1"/>
    <n v="2"/>
    <n v="4.0000000000000003E-5"/>
    <b v="0"/>
    <b v="1"/>
    <x v="1"/>
    <n v="0.10000000000000002"/>
    <n v="0"/>
    <n v="6.0000000000000012E-2"/>
  </r>
  <r>
    <s v="ID000611"/>
    <x v="3"/>
    <x v="3"/>
    <s v="Technova"/>
    <x v="1"/>
    <n v="22"/>
    <n v="50000"/>
    <d v="2021-08-18T00:00:00"/>
    <n v="1"/>
    <x v="1"/>
    <n v="2"/>
    <n v="4.0000000000000003E-5"/>
    <b v="1"/>
    <b v="1"/>
    <x v="1"/>
    <n v="0.10000000000000002"/>
    <n v="0"/>
    <n v="6.0000000000000012E-2"/>
  </r>
  <r>
    <s v="ID000615"/>
    <x v="1"/>
    <x v="1"/>
    <s v="Technova"/>
    <x v="1"/>
    <n v="11"/>
    <n v="25000"/>
    <d v="2020-03-21T00:00:00"/>
    <n v="1"/>
    <x v="0"/>
    <n v="1"/>
    <n v="4.0000000000000003E-5"/>
    <b v="0"/>
    <b v="1"/>
    <x v="1"/>
    <n v="0.10000000000000002"/>
    <n v="0"/>
    <n v="6.0000000000000012E-2"/>
  </r>
  <r>
    <s v="ID000718"/>
    <x v="3"/>
    <x v="3"/>
    <s v="Technova"/>
    <x v="1"/>
    <n v="14"/>
    <n v="50000"/>
    <d v="2023-08-29T00:00:00"/>
    <n v="1"/>
    <x v="1"/>
    <n v="2"/>
    <n v="4.0000000000000003E-5"/>
    <b v="0"/>
    <b v="1"/>
    <x v="1"/>
    <n v="0.10000000000000002"/>
    <n v="0"/>
    <n v="6.0000000000000012E-2"/>
  </r>
  <r>
    <s v="ID000730"/>
    <x v="3"/>
    <x v="3"/>
    <s v="Technova"/>
    <x v="1"/>
    <n v="6"/>
    <n v="50000"/>
    <d v="2022-11-29T00:00:00"/>
    <n v="1"/>
    <x v="1"/>
    <n v="2"/>
    <n v="4.0000000000000003E-5"/>
    <b v="0"/>
    <b v="1"/>
    <x v="1"/>
    <n v="0.10000000000000002"/>
    <n v="0"/>
    <n v="6.0000000000000012E-2"/>
  </r>
  <r>
    <s v="ID000831"/>
    <x v="3"/>
    <x v="3"/>
    <s v="Dataverse"/>
    <x v="0"/>
    <n v="14"/>
    <n v="50000"/>
    <d v="2012-01-05T00:00:00"/>
    <n v="1"/>
    <x v="1"/>
    <n v="2"/>
    <n v="4.0000000000000003E-5"/>
    <b v="0"/>
    <b v="1"/>
    <x v="1"/>
    <n v="0.10000000000000002"/>
    <n v="0"/>
    <n v="6.0000000000000012E-2"/>
  </r>
  <r>
    <s v="ID000950"/>
    <x v="4"/>
    <x v="4"/>
    <s v="Technova"/>
    <x v="1"/>
    <n v="12"/>
    <n v="50000"/>
    <d v="2022-12-08T00:00:00"/>
    <n v="1"/>
    <x v="1"/>
    <n v="2"/>
    <n v="4.0000000000000003E-5"/>
    <b v="0"/>
    <b v="1"/>
    <x v="1"/>
    <n v="0.10000000000000002"/>
    <n v="0"/>
    <n v="6.0000000000000012E-2"/>
  </r>
  <r>
    <s v="ID000246"/>
    <x v="8"/>
    <x v="8"/>
    <s v="Technova"/>
    <x v="1"/>
    <n v="10"/>
    <n v="77000"/>
    <d v="2018-05-20T00:00:00"/>
    <n v="1"/>
    <x v="2"/>
    <n v="3"/>
    <n v="3.896103896103896E-5"/>
    <b v="0"/>
    <b v="1"/>
    <x v="1"/>
    <n v="8.441558441558436E-2"/>
    <n v="0"/>
    <n v="5.0649350649350618E-2"/>
  </r>
  <r>
    <s v="ID000111"/>
    <x v="0"/>
    <x v="0"/>
    <s v="Dataverse"/>
    <x v="0"/>
    <n v="23"/>
    <n v="26000"/>
    <d v="2008-04-23T00:00:00"/>
    <n v="1"/>
    <x v="0"/>
    <n v="1"/>
    <n v="3.8461538461538463E-5"/>
    <b v="1"/>
    <b v="1"/>
    <x v="1"/>
    <n v="7.6923076923076913E-2"/>
    <n v="0"/>
    <n v="4.6153846153846149E-2"/>
  </r>
  <r>
    <s v="ID000256"/>
    <x v="9"/>
    <x v="9"/>
    <s v="Technova"/>
    <x v="1"/>
    <n v="13"/>
    <n v="78000"/>
    <d v="2012-12-12T00:00:00"/>
    <n v="1"/>
    <x v="2"/>
    <n v="3"/>
    <n v="3.8461538461538463E-5"/>
    <b v="0"/>
    <b v="1"/>
    <x v="1"/>
    <n v="7.6923076923076913E-2"/>
    <n v="0"/>
    <n v="4.6153846153846149E-2"/>
  </r>
  <r>
    <s v="ID000323"/>
    <x v="9"/>
    <x v="9"/>
    <s v="Dataverse"/>
    <x v="0"/>
    <n v="14"/>
    <n v="78000"/>
    <d v="2022-03-09T00:00:00"/>
    <n v="1"/>
    <x v="2"/>
    <n v="3"/>
    <n v="3.8461538461538463E-5"/>
    <b v="0"/>
    <b v="1"/>
    <x v="1"/>
    <n v="7.6923076923076913E-2"/>
    <n v="0"/>
    <n v="4.6153846153846149E-2"/>
  </r>
  <r>
    <s v="ID000623"/>
    <x v="1"/>
    <x v="1"/>
    <s v="Technova"/>
    <x v="1"/>
    <n v="2"/>
    <n v="26000"/>
    <d v="2023-01-02T00:00:00"/>
    <n v="1"/>
    <x v="0"/>
    <n v="1"/>
    <n v="3.8461538461538463E-5"/>
    <b v="0"/>
    <b v="0"/>
    <x v="1"/>
    <n v="7.6923076923076913E-2"/>
    <n v="0"/>
    <n v="4.6153846153846149E-2"/>
  </r>
  <r>
    <s v="ID000935"/>
    <x v="1"/>
    <x v="1"/>
    <s v="Dataverse"/>
    <x v="0"/>
    <n v="10"/>
    <n v="26000"/>
    <d v="2006-02-18T00:00:00"/>
    <n v="1"/>
    <x v="0"/>
    <n v="1"/>
    <n v="3.8461538461538463E-5"/>
    <b v="0"/>
    <b v="1"/>
    <x v="1"/>
    <n v="7.6923076923076913E-2"/>
    <n v="0"/>
    <n v="4.6153846153846149E-2"/>
  </r>
  <r>
    <s v="ID000253"/>
    <x v="9"/>
    <x v="9"/>
    <s v="Technova"/>
    <x v="1"/>
    <n v="15"/>
    <n v="79000"/>
    <d v="2015-08-19T00:00:00"/>
    <n v="1"/>
    <x v="2"/>
    <n v="3"/>
    <n v="3.79746835443038E-5"/>
    <b v="0"/>
    <b v="1"/>
    <x v="1"/>
    <n v="6.9620253164556972E-2"/>
    <n v="0"/>
    <n v="4.1772151898734185E-2"/>
  </r>
  <r>
    <s v="ID000578"/>
    <x v="5"/>
    <x v="5"/>
    <s v="Technova"/>
    <x v="1"/>
    <n v="5"/>
    <n v="80000"/>
    <d v="2005-07-15T00:00:00"/>
    <n v="1"/>
    <x v="2"/>
    <n v="3"/>
    <n v="3.7499999999999997E-5"/>
    <b v="0"/>
    <b v="0"/>
    <x v="1"/>
    <n v="6.2499999999999924E-2"/>
    <n v="0"/>
    <n v="3.749999999999995E-2"/>
  </r>
  <r>
    <s v="ID000118"/>
    <x v="0"/>
    <x v="0"/>
    <s v="Dataverse"/>
    <x v="0"/>
    <n v="17"/>
    <n v="27000"/>
    <d v="2015-07-19T00:00:00"/>
    <n v="1"/>
    <x v="0"/>
    <n v="1"/>
    <n v="3.7037037037037037E-5"/>
    <b v="1"/>
    <b v="1"/>
    <x v="1"/>
    <n v="5.5555555555555525E-2"/>
    <n v="0"/>
    <n v="3.3333333333333312E-2"/>
  </r>
  <r>
    <s v="ID000313"/>
    <x v="0"/>
    <x v="0"/>
    <s v="Technova"/>
    <x v="1"/>
    <n v="3"/>
    <n v="27000"/>
    <d v="2020-12-12T00:00:00"/>
    <n v="1"/>
    <x v="0"/>
    <n v="1"/>
    <n v="3.7037037037037037E-5"/>
    <b v="0"/>
    <b v="0"/>
    <x v="1"/>
    <n v="5.5555555555555525E-2"/>
    <n v="0"/>
    <n v="3.3333333333333312E-2"/>
  </r>
  <r>
    <s v="ID000581"/>
    <x v="5"/>
    <x v="5"/>
    <s v="Technova"/>
    <x v="1"/>
    <n v="25"/>
    <n v="81000"/>
    <d v="2005-09-28T00:00:00"/>
    <n v="1"/>
    <x v="2"/>
    <n v="3"/>
    <n v="3.7037037037037037E-5"/>
    <b v="1"/>
    <b v="1"/>
    <x v="1"/>
    <n v="5.5555555555555525E-2"/>
    <n v="0"/>
    <n v="3.3333333333333312E-2"/>
  </r>
  <r>
    <s v="ID000691"/>
    <x v="5"/>
    <x v="5"/>
    <s v="Technova"/>
    <x v="1"/>
    <n v="13"/>
    <n v="81000"/>
    <d v="2009-08-29T00:00:00"/>
    <n v="1"/>
    <x v="2"/>
    <n v="3"/>
    <n v="3.7037037037037037E-5"/>
    <b v="0"/>
    <b v="1"/>
    <x v="1"/>
    <n v="5.5555555555555525E-2"/>
    <n v="0"/>
    <n v="3.3333333333333312E-2"/>
  </r>
  <r>
    <s v="ID000999"/>
    <x v="1"/>
    <x v="1"/>
    <s v="Dataverse"/>
    <x v="0"/>
    <n v="12"/>
    <n v="27000"/>
    <d v="2022-11-30T00:00:00"/>
    <n v="1"/>
    <x v="0"/>
    <n v="1"/>
    <n v="3.7037037037037037E-5"/>
    <b v="0"/>
    <b v="1"/>
    <x v="1"/>
    <n v="5.5555555555555525E-2"/>
    <n v="0"/>
    <n v="3.3333333333333312E-2"/>
  </r>
  <r>
    <s v="ID000236"/>
    <x v="0"/>
    <x v="0"/>
    <s v="Dataverse"/>
    <x v="0"/>
    <n v="17"/>
    <n v="28000"/>
    <d v="2006-04-28T00:00:00"/>
    <n v="1"/>
    <x v="0"/>
    <n v="1"/>
    <n v="3.5714285714285717E-5"/>
    <b v="1"/>
    <b v="1"/>
    <x v="1"/>
    <n v="3.5714285714285726E-2"/>
    <n v="0"/>
    <n v="2.1428571428571436E-2"/>
  </r>
  <r>
    <s v="ID000809"/>
    <x v="5"/>
    <x v="5"/>
    <s v="Dataverse"/>
    <x v="0"/>
    <n v="10"/>
    <n v="84000"/>
    <d v="2023-08-24T00:00:00"/>
    <n v="1"/>
    <x v="2"/>
    <n v="3"/>
    <n v="3.5714285714285717E-5"/>
    <b v="0"/>
    <b v="1"/>
    <x v="1"/>
    <n v="3.5714285714285726E-2"/>
    <n v="0"/>
    <n v="2.1428571428571436E-2"/>
  </r>
  <r>
    <s v="ID001000"/>
    <x v="1"/>
    <x v="1"/>
    <s v="Dataverse"/>
    <x v="0"/>
    <n v="20"/>
    <n v="28000"/>
    <d v="2014-10-18T00:00:00"/>
    <n v="1"/>
    <x v="0"/>
    <n v="1"/>
    <n v="3.5714285714285717E-5"/>
    <b v="1"/>
    <b v="1"/>
    <x v="1"/>
    <n v="3.5714285714285726E-2"/>
    <n v="0"/>
    <n v="2.1428571428571436E-2"/>
  </r>
  <r>
    <s v="ID000315"/>
    <x v="0"/>
    <x v="0"/>
    <s v="Technova"/>
    <x v="1"/>
    <n v="25"/>
    <n v="29000"/>
    <d v="2019-04-04T00:00:00"/>
    <n v="1"/>
    <x v="0"/>
    <n v="1"/>
    <n v="3.4482758620689657E-5"/>
    <b v="1"/>
    <b v="1"/>
    <x v="1"/>
    <n v="1.7241379310344824E-2"/>
    <n v="0"/>
    <n v="1.0344827586206895E-2"/>
  </r>
  <r>
    <s v="ID000570"/>
    <x v="1"/>
    <x v="1"/>
    <s v="Dataverse"/>
    <x v="0"/>
    <n v="24"/>
    <n v="29000"/>
    <d v="2023-03-16T00:00:00"/>
    <n v="1"/>
    <x v="0"/>
    <n v="1"/>
    <n v="3.4482758620689657E-5"/>
    <b v="1"/>
    <b v="1"/>
    <x v="1"/>
    <n v="1.7241379310344824E-2"/>
    <n v="0"/>
    <n v="1.0344827586206895E-2"/>
  </r>
  <r>
    <s v="ID000962"/>
    <x v="1"/>
    <x v="1"/>
    <s v="Technova"/>
    <x v="1"/>
    <n v="13"/>
    <n v="29000"/>
    <d v="2007-04-06T00:00:00"/>
    <n v="1"/>
    <x v="0"/>
    <n v="1"/>
    <n v="3.4482758620689657E-5"/>
    <b v="0"/>
    <b v="1"/>
    <x v="1"/>
    <n v="1.7241379310344824E-2"/>
    <n v="0"/>
    <n v="1.0344827586206895E-2"/>
  </r>
  <r>
    <s v="ID000106"/>
    <x v="0"/>
    <x v="0"/>
    <s v="Dataverse"/>
    <x v="0"/>
    <n v="13"/>
    <n v="30000"/>
    <d v="2009-10-28T00:00:00"/>
    <n v="1"/>
    <x v="0"/>
    <n v="1"/>
    <n v="3.3333333333333335E-5"/>
    <b v="0"/>
    <b v="1"/>
    <x v="1"/>
    <n v="0"/>
    <n v="0"/>
    <n v="0"/>
  </r>
  <r>
    <s v="ID000689"/>
    <x v="1"/>
    <x v="1"/>
    <s v="Dataverse"/>
    <x v="0"/>
    <n v="1"/>
    <n v="30000"/>
    <d v="2013-03-24T00:00:00"/>
    <n v="1"/>
    <x v="0"/>
    <n v="1"/>
    <n v="3.3333333333333335E-5"/>
    <b v="0"/>
    <b v="0"/>
    <x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0BB6C-2248-45B6-B981-5413BD38B8C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D15" firstHeaderRow="1" firstDataRow="2" firstDataCol="1" rowPageCount="1" colPageCount="1"/>
  <pivotFields count="18">
    <pivotField dataField="1" compact="0" outline="0" showAll="0"/>
    <pivotField compact="0" outline="0" showAll="0"/>
    <pivotField axis="axisRow" compact="0" outline="0" showAll="0" sortType="descending">
      <items count="11">
        <item x="8"/>
        <item x="9"/>
        <item x="5"/>
        <item x="7"/>
        <item x="6"/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0"/>
        <item h="1"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"/>
  </rowFields>
  <rowItems count="11">
    <i>
      <x v="6"/>
    </i>
    <i>
      <x v="5"/>
    </i>
    <i>
      <x v="8"/>
    </i>
    <i>
      <x v="9"/>
    </i>
    <i>
      <x v="2"/>
    </i>
    <i>
      <x v="3"/>
    </i>
    <i>
      <x v="4"/>
    </i>
    <i>
      <x v="7"/>
    </i>
    <i>
      <x/>
    </i>
    <i>
      <x v="1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1">
    <pageField fld="14" item="0" hier="-1"/>
  </pageFields>
  <dataFields count="1">
    <dataField name="Count of Employee_ID" fld="0" subtotal="count" baseField="0" baseItem="0"/>
  </dataFields>
  <chartFormats count="3"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5168F3-BDB3-472F-AAB3-06AE615B84BC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J17" firstHeaderRow="1" firstDataRow="3" firstDataCol="1" rowPageCount="2" colPageCount="1"/>
  <pivotFields count="18">
    <pivotField dataField="1" compact="0" outline="0" showAll="0"/>
    <pivotField compact="0" outline="0" showAll="0">
      <items count="11">
        <item x="8"/>
        <item x="9"/>
        <item x="5"/>
        <item x="7"/>
        <item x="6"/>
        <item x="2"/>
        <item x="3"/>
        <item x="4"/>
        <item x="0"/>
        <item x="1"/>
        <item t="default"/>
      </items>
    </pivotField>
    <pivotField axis="axisRow" compact="0" outline="0" showAll="0">
      <items count="11">
        <item x="8"/>
        <item x="9"/>
        <item x="5"/>
        <item x="7"/>
        <item x="6"/>
        <item x="2"/>
        <item x="3"/>
        <item x="4"/>
        <item x="0"/>
        <item x="1"/>
        <item t="default"/>
      </items>
    </pivotField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compact="0" numFmtId="178" outline="0" showAll="0"/>
    <pivotField compact="0" outline="0" showAll="0"/>
    <pivotField axis="axisPage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0"/>
        <item h="1"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4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pageFields count="2">
    <pageField fld="14" item="0" hier="-1"/>
    <pageField fld="9" hier="-1"/>
  </pageFields>
  <dataFields count="3">
    <dataField name="Count of Employee_ID" fld="0" subtotal="count" baseField="0" baseItem="0"/>
    <dataField name="Sum of Salary" fld="6" baseField="0" baseItem="0"/>
    <dataField name="Average of Unified_Performance_Score" fld="1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4F4AED-4395-4DF9-A82B-81F5A2633A3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4" firstHeaderRow="0" firstDataRow="1" firstDataCol="1" rowPageCount="1" colPageCount="1"/>
  <pivotFields count="18">
    <pivotField dataField="1" compact="0" outline="0" showAll="0"/>
    <pivotField compact="0" outline="0" showAll="0">
      <items count="11">
        <item x="8"/>
        <item x="9"/>
        <item x="5"/>
        <item x="7"/>
        <item x="6"/>
        <item x="2"/>
        <item x="3"/>
        <item x="4"/>
        <item x="0"/>
        <item x="1"/>
        <item t="default"/>
      </items>
    </pivotField>
    <pivotField axis="axisRow" compact="0" outline="0" showAll="0">
      <items count="11">
        <item x="8"/>
        <item x="9"/>
        <item x="5"/>
        <item x="7"/>
        <item x="6"/>
        <item x="2"/>
        <item x="3"/>
        <item x="4"/>
        <item x="0"/>
        <item x="1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numFmtId="178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0"/>
        <item h="1"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4" item="0" hier="-1"/>
  </pageFields>
  <dataFields count="2">
    <dataField name="Count of Employee_ID" fld="0" subtotal="count" baseField="0" baseItem="0"/>
    <dataField name="Average of Unified_Performance_Score" fld="1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_Trim_" xr10:uid="{0915143B-38FA-4CF6-8445-B17994F3C728}" sourceName="Department(Trim)">
  <pivotTables>
    <pivotTable tabId="10" name="PivotTable2"/>
    <pivotTable tabId="8" name="PivotTable1"/>
    <pivotTable tabId="4" name="PivotTable1"/>
  </pivotTables>
  <data>
    <tabular pivotCacheId="1845672127">
      <items count="10">
        <i x="8" s="1"/>
        <i x="9" s="1"/>
        <i x="5" s="1"/>
        <i x="7" s="1"/>
        <i x="6" s="1"/>
        <i x="2" s="1"/>
        <i x="3" s="1"/>
        <i x="4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mpany_Origin__Trim_" xr10:uid="{D2410E75-CDD3-411E-8A74-A77BB0F66297}" sourceName="Company Origin (Trim)">
  <pivotTables>
    <pivotTable tabId="10" name="PivotTable2"/>
    <pivotTable tabId="8" name="PivotTable1"/>
    <pivotTable tabId="4" name="PivotTable1"/>
  </pivotTables>
  <data>
    <tabular pivotCacheId="1845672127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Work_Ratings" xr10:uid="{EA372A16-23A6-48FD-B1D7-E9C489DEE13B}" sourceName="Work Ratings">
  <pivotTables>
    <pivotTable tabId="10" name="PivotTable2"/>
    <pivotTable tabId="8" name="PivotTable1"/>
    <pivotTable tabId="4" name="PivotTable1"/>
  </pivotTables>
  <data>
    <tabular pivotCacheId="1845672127">
      <items count="3"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ment(Trim)" xr10:uid="{B5DD51D1-153D-4253-AD05-DE867D5C60FA}" cache="Slicer_Department_Trim_" caption="Department(Trim)" rowHeight="228600"/>
  <slicer name="Company Origin (Trim)" xr10:uid="{6599ED7E-780D-4094-8AEE-D00EE8FB30A8}" cache="Slicer_Company_Origin__Trim_" caption="Company Origin (Trim)" rowHeight="228600"/>
  <slicer name="Work Ratings" xr10:uid="{E4BE75D6-E473-429A-AA0C-59B69204B469}" cache="Slicer_Work_Ratings" caption="Work Ratings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5E402-D13A-47E0-9145-2E77C1625BE9}">
  <sheetPr filterMode="1"/>
  <dimension ref="A1:R1001"/>
  <sheetViews>
    <sheetView zoomScale="70" workbookViewId="0">
      <selection activeCell="B20" sqref="B20"/>
    </sheetView>
  </sheetViews>
  <sheetFormatPr defaultRowHeight="14.4"/>
  <cols>
    <col min="1" max="1" width="17.6640625" customWidth="1"/>
    <col min="2" max="3" width="29.5546875" customWidth="1"/>
    <col min="4" max="4" width="19.33203125" customWidth="1"/>
    <col min="5" max="5" width="21.6640625" customWidth="1"/>
    <col min="6" max="6" width="25.88671875" customWidth="1"/>
    <col min="7" max="7" width="14" customWidth="1"/>
    <col min="8" max="8" width="12.33203125" customWidth="1"/>
    <col min="9" max="9" width="21" customWidth="1"/>
    <col min="10" max="10" width="15" customWidth="1"/>
    <col min="11" max="11" width="22.109375" customWidth="1"/>
    <col min="12" max="12" width="18.5546875" customWidth="1"/>
    <col min="13" max="13" width="21.88671875" customWidth="1"/>
    <col min="14" max="14" width="15.109375" customWidth="1"/>
    <col min="15" max="15" width="17.88671875" customWidth="1"/>
    <col min="16" max="16" width="13.5546875" customWidth="1"/>
    <col min="17" max="17" width="15.88671875" customWidth="1"/>
    <col min="18" max="18" width="28.1093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tr">
        <f t="shared" ref="C2:C65" si="0">TRIM(B2)</f>
        <v>Research &amp; Department</v>
      </c>
      <c r="D2" t="s">
        <v>20</v>
      </c>
      <c r="E2" t="str">
        <f t="shared" ref="E2:E65" si="1">TRIM(D2)</f>
        <v>Dataverse</v>
      </c>
      <c r="F2">
        <v>23</v>
      </c>
      <c r="G2">
        <v>10000</v>
      </c>
      <c r="H2" s="1">
        <v>39666</v>
      </c>
      <c r="I2">
        <v>5</v>
      </c>
      <c r="J2" t="s">
        <v>21</v>
      </c>
      <c r="K2">
        <f t="shared" ref="K2:K65" si="2">IF(J2="A", 3, IF(J2="B", 2, 1))</f>
        <v>1</v>
      </c>
      <c r="L2">
        <f t="shared" ref="L2:L65" si="3">K2/G2</f>
        <v>1E-4</v>
      </c>
      <c r="M2" t="b">
        <f t="shared" ref="M2:M65" si="4">IF(F2&gt;15, TRUE, FALSE)</f>
        <v>1</v>
      </c>
      <c r="N2" t="b">
        <f t="shared" ref="N2:N65" si="5">IF(F2&gt;5, TRUE, FALSE)</f>
        <v>1</v>
      </c>
      <c r="O2" t="s">
        <v>22</v>
      </c>
      <c r="P2">
        <f t="shared" ref="P2:P65" si="6">(L2-MIN(L:L))/(MAX(L:L)-MIN(L:L))</f>
        <v>1</v>
      </c>
      <c r="Q2">
        <f t="shared" ref="Q2:Q65" si="7">(I2-1)/4</f>
        <v>1</v>
      </c>
      <c r="R2">
        <f t="shared" ref="R2:R65" si="8">(0.6*P2)+(0.4*Q2)</f>
        <v>1</v>
      </c>
    </row>
    <row r="3" spans="1:18">
      <c r="A3" t="s">
        <v>23</v>
      </c>
      <c r="B3" t="s">
        <v>19</v>
      </c>
      <c r="C3" t="str">
        <f t="shared" si="0"/>
        <v>Research &amp; Department</v>
      </c>
      <c r="D3" t="s">
        <v>20</v>
      </c>
      <c r="E3" t="str">
        <f t="shared" si="1"/>
        <v>Dataverse</v>
      </c>
      <c r="F3">
        <v>6</v>
      </c>
      <c r="G3">
        <v>10000</v>
      </c>
      <c r="H3" s="1">
        <v>45044</v>
      </c>
      <c r="I3">
        <v>5</v>
      </c>
      <c r="J3" t="s">
        <v>21</v>
      </c>
      <c r="K3">
        <f t="shared" si="2"/>
        <v>1</v>
      </c>
      <c r="L3">
        <f t="shared" si="3"/>
        <v>1E-4</v>
      </c>
      <c r="M3" t="b">
        <f t="shared" si="4"/>
        <v>0</v>
      </c>
      <c r="N3" t="b">
        <f t="shared" si="5"/>
        <v>1</v>
      </c>
      <c r="O3" t="s">
        <v>22</v>
      </c>
      <c r="P3">
        <f t="shared" si="6"/>
        <v>1</v>
      </c>
      <c r="Q3">
        <f t="shared" si="7"/>
        <v>1</v>
      </c>
      <c r="R3">
        <f t="shared" si="8"/>
        <v>1</v>
      </c>
    </row>
    <row r="4" spans="1:18">
      <c r="A4" t="s">
        <v>24</v>
      </c>
      <c r="B4" t="s">
        <v>25</v>
      </c>
      <c r="C4" t="str">
        <f t="shared" si="0"/>
        <v>Sales &amp; Marketing</v>
      </c>
      <c r="D4" t="s">
        <v>20</v>
      </c>
      <c r="E4" t="str">
        <f t="shared" si="1"/>
        <v>Dataverse</v>
      </c>
      <c r="F4">
        <v>17</v>
      </c>
      <c r="G4">
        <v>10000</v>
      </c>
      <c r="H4" s="1">
        <v>43562</v>
      </c>
      <c r="I4">
        <v>5</v>
      </c>
      <c r="J4" t="s">
        <v>21</v>
      </c>
      <c r="K4">
        <f t="shared" si="2"/>
        <v>1</v>
      </c>
      <c r="L4">
        <f t="shared" si="3"/>
        <v>1E-4</v>
      </c>
      <c r="M4" t="b">
        <f t="shared" si="4"/>
        <v>1</v>
      </c>
      <c r="N4" t="b">
        <f t="shared" si="5"/>
        <v>1</v>
      </c>
      <c r="O4" t="s">
        <v>22</v>
      </c>
      <c r="P4">
        <f t="shared" si="6"/>
        <v>1</v>
      </c>
      <c r="Q4">
        <f t="shared" si="7"/>
        <v>1</v>
      </c>
      <c r="R4">
        <f t="shared" si="8"/>
        <v>1</v>
      </c>
    </row>
    <row r="5" spans="1:18">
      <c r="A5" t="s">
        <v>26</v>
      </c>
      <c r="B5" t="s">
        <v>19</v>
      </c>
      <c r="C5" t="str">
        <f t="shared" si="0"/>
        <v>Research &amp; Department</v>
      </c>
      <c r="D5" t="s">
        <v>27</v>
      </c>
      <c r="E5" t="str">
        <f t="shared" si="1"/>
        <v>Technova</v>
      </c>
      <c r="F5">
        <v>25</v>
      </c>
      <c r="G5">
        <v>11000</v>
      </c>
      <c r="H5" s="1">
        <v>41938</v>
      </c>
      <c r="I5">
        <v>5</v>
      </c>
      <c r="J5" t="s">
        <v>21</v>
      </c>
      <c r="K5">
        <f t="shared" si="2"/>
        <v>1</v>
      </c>
      <c r="L5">
        <f t="shared" si="3"/>
        <v>9.0909090909090904E-5</v>
      </c>
      <c r="M5" t="b">
        <f t="shared" si="4"/>
        <v>1</v>
      </c>
      <c r="N5" t="b">
        <f t="shared" si="5"/>
        <v>1</v>
      </c>
      <c r="O5" t="s">
        <v>22</v>
      </c>
      <c r="P5">
        <f t="shared" si="6"/>
        <v>0.86363636363636354</v>
      </c>
      <c r="Q5">
        <f t="shared" si="7"/>
        <v>1</v>
      </c>
      <c r="R5">
        <f t="shared" si="8"/>
        <v>0.9181818181818181</v>
      </c>
    </row>
    <row r="6" spans="1:18">
      <c r="A6" t="s">
        <v>28</v>
      </c>
      <c r="B6" t="s">
        <v>19</v>
      </c>
      <c r="C6" t="str">
        <f t="shared" si="0"/>
        <v>Research &amp; Department</v>
      </c>
      <c r="D6" t="s">
        <v>27</v>
      </c>
      <c r="E6" t="str">
        <f t="shared" si="1"/>
        <v>Technova</v>
      </c>
      <c r="F6">
        <v>5</v>
      </c>
      <c r="G6">
        <v>11000</v>
      </c>
      <c r="H6" s="1">
        <v>40391</v>
      </c>
      <c r="I6">
        <v>5</v>
      </c>
      <c r="J6" t="s">
        <v>21</v>
      </c>
      <c r="K6">
        <f t="shared" si="2"/>
        <v>1</v>
      </c>
      <c r="L6">
        <f t="shared" si="3"/>
        <v>9.0909090909090904E-5</v>
      </c>
      <c r="M6" t="b">
        <f t="shared" si="4"/>
        <v>0</v>
      </c>
      <c r="N6" t="b">
        <f t="shared" si="5"/>
        <v>0</v>
      </c>
      <c r="O6" t="s">
        <v>22</v>
      </c>
      <c r="P6">
        <f t="shared" si="6"/>
        <v>0.86363636363636354</v>
      </c>
      <c r="Q6">
        <f t="shared" si="7"/>
        <v>1</v>
      </c>
      <c r="R6">
        <f t="shared" si="8"/>
        <v>0.9181818181818181</v>
      </c>
    </row>
    <row r="7" spans="1:18">
      <c r="A7" t="s">
        <v>29</v>
      </c>
      <c r="B7" t="s">
        <v>25</v>
      </c>
      <c r="C7" t="str">
        <f t="shared" si="0"/>
        <v>Sales &amp; Marketing</v>
      </c>
      <c r="D7" t="s">
        <v>27</v>
      </c>
      <c r="E7" t="str">
        <f t="shared" si="1"/>
        <v>Technova</v>
      </c>
      <c r="F7">
        <v>21</v>
      </c>
      <c r="G7">
        <v>11000</v>
      </c>
      <c r="H7" s="1">
        <v>38298</v>
      </c>
      <c r="I7">
        <v>5</v>
      </c>
      <c r="J7" t="s">
        <v>21</v>
      </c>
      <c r="K7">
        <f t="shared" si="2"/>
        <v>1</v>
      </c>
      <c r="L7">
        <f t="shared" si="3"/>
        <v>9.0909090909090904E-5</v>
      </c>
      <c r="M7" t="b">
        <f t="shared" si="4"/>
        <v>1</v>
      </c>
      <c r="N7" t="b">
        <f t="shared" si="5"/>
        <v>1</v>
      </c>
      <c r="O7" t="s">
        <v>22</v>
      </c>
      <c r="P7">
        <f t="shared" si="6"/>
        <v>0.86363636363636354</v>
      </c>
      <c r="Q7">
        <f t="shared" si="7"/>
        <v>1</v>
      </c>
      <c r="R7">
        <f t="shared" si="8"/>
        <v>0.9181818181818181</v>
      </c>
    </row>
    <row r="8" spans="1:18">
      <c r="A8" t="s">
        <v>30</v>
      </c>
      <c r="B8" t="s">
        <v>19</v>
      </c>
      <c r="C8" t="str">
        <f t="shared" si="0"/>
        <v>Research &amp; Department</v>
      </c>
      <c r="D8" t="s">
        <v>27</v>
      </c>
      <c r="E8" t="str">
        <f t="shared" si="1"/>
        <v>Technova</v>
      </c>
      <c r="F8">
        <v>7</v>
      </c>
      <c r="G8">
        <v>10000</v>
      </c>
      <c r="H8" s="1">
        <v>45263</v>
      </c>
      <c r="I8">
        <v>4</v>
      </c>
      <c r="J8" t="s">
        <v>21</v>
      </c>
      <c r="K8">
        <f t="shared" si="2"/>
        <v>1</v>
      </c>
      <c r="L8">
        <f t="shared" si="3"/>
        <v>1E-4</v>
      </c>
      <c r="M8" t="b">
        <f t="shared" si="4"/>
        <v>0</v>
      </c>
      <c r="N8" t="b">
        <f t="shared" si="5"/>
        <v>1</v>
      </c>
      <c r="O8" t="s">
        <v>22</v>
      </c>
      <c r="P8">
        <f t="shared" si="6"/>
        <v>1</v>
      </c>
      <c r="Q8">
        <f t="shared" si="7"/>
        <v>0.75</v>
      </c>
      <c r="R8">
        <f t="shared" si="8"/>
        <v>0.9</v>
      </c>
    </row>
    <row r="9" spans="1:18">
      <c r="A9" t="s">
        <v>31</v>
      </c>
      <c r="B9" t="s">
        <v>19</v>
      </c>
      <c r="C9" t="str">
        <f t="shared" si="0"/>
        <v>Research &amp; Department</v>
      </c>
      <c r="D9" t="s">
        <v>27</v>
      </c>
      <c r="E9" t="str">
        <f t="shared" si="1"/>
        <v>Technova</v>
      </c>
      <c r="F9">
        <v>9</v>
      </c>
      <c r="G9">
        <v>10000</v>
      </c>
      <c r="H9" s="1">
        <v>40305</v>
      </c>
      <c r="I9">
        <v>4</v>
      </c>
      <c r="J9" t="s">
        <v>21</v>
      </c>
      <c r="K9">
        <f t="shared" si="2"/>
        <v>1</v>
      </c>
      <c r="L9">
        <f t="shared" si="3"/>
        <v>1E-4</v>
      </c>
      <c r="M9" t="b">
        <f t="shared" si="4"/>
        <v>0</v>
      </c>
      <c r="N9" t="b">
        <f t="shared" si="5"/>
        <v>1</v>
      </c>
      <c r="O9" t="s">
        <v>22</v>
      </c>
      <c r="P9">
        <f t="shared" si="6"/>
        <v>1</v>
      </c>
      <c r="Q9">
        <f t="shared" si="7"/>
        <v>0.75</v>
      </c>
      <c r="R9">
        <f t="shared" si="8"/>
        <v>0.9</v>
      </c>
    </row>
    <row r="10" spans="1:18">
      <c r="A10" t="s">
        <v>32</v>
      </c>
      <c r="B10" t="s">
        <v>19</v>
      </c>
      <c r="C10" t="str">
        <f t="shared" si="0"/>
        <v>Research &amp; Department</v>
      </c>
      <c r="D10" t="s">
        <v>20</v>
      </c>
      <c r="E10" t="str">
        <f t="shared" si="1"/>
        <v>Dataverse</v>
      </c>
      <c r="F10">
        <v>8</v>
      </c>
      <c r="G10">
        <v>12000</v>
      </c>
      <c r="H10" s="1">
        <v>39672</v>
      </c>
      <c r="I10">
        <v>5</v>
      </c>
      <c r="J10" t="s">
        <v>21</v>
      </c>
      <c r="K10">
        <f t="shared" si="2"/>
        <v>1</v>
      </c>
      <c r="L10">
        <f t="shared" si="3"/>
        <v>8.3333333333333331E-5</v>
      </c>
      <c r="M10" t="b">
        <f t="shared" si="4"/>
        <v>0</v>
      </c>
      <c r="N10" t="b">
        <f t="shared" si="5"/>
        <v>1</v>
      </c>
      <c r="O10" t="s">
        <v>22</v>
      </c>
      <c r="P10">
        <f t="shared" si="6"/>
        <v>0.74999999999999989</v>
      </c>
      <c r="Q10">
        <f t="shared" si="7"/>
        <v>1</v>
      </c>
      <c r="R10">
        <f t="shared" si="8"/>
        <v>0.84999999999999987</v>
      </c>
    </row>
    <row r="11" spans="1:18">
      <c r="A11" t="s">
        <v>33</v>
      </c>
      <c r="B11" t="s">
        <v>25</v>
      </c>
      <c r="C11" t="str">
        <f t="shared" si="0"/>
        <v>Sales &amp; Marketing</v>
      </c>
      <c r="D11" t="s">
        <v>27</v>
      </c>
      <c r="E11" t="str">
        <f t="shared" si="1"/>
        <v>Technova</v>
      </c>
      <c r="F11">
        <v>16</v>
      </c>
      <c r="G11">
        <v>12000</v>
      </c>
      <c r="H11" s="1">
        <v>39261</v>
      </c>
      <c r="I11">
        <v>5</v>
      </c>
      <c r="J11" t="s">
        <v>21</v>
      </c>
      <c r="K11">
        <f t="shared" si="2"/>
        <v>1</v>
      </c>
      <c r="L11">
        <f t="shared" si="3"/>
        <v>8.3333333333333331E-5</v>
      </c>
      <c r="M11" t="b">
        <f t="shared" si="4"/>
        <v>1</v>
      </c>
      <c r="N11" t="b">
        <f t="shared" si="5"/>
        <v>1</v>
      </c>
      <c r="O11" t="s">
        <v>22</v>
      </c>
      <c r="P11">
        <f t="shared" si="6"/>
        <v>0.74999999999999989</v>
      </c>
      <c r="Q11">
        <f t="shared" si="7"/>
        <v>1</v>
      </c>
      <c r="R11">
        <f t="shared" si="8"/>
        <v>0.84999999999999987</v>
      </c>
    </row>
    <row r="12" spans="1:18">
      <c r="A12" t="s">
        <v>34</v>
      </c>
      <c r="B12" t="s">
        <v>19</v>
      </c>
      <c r="C12" t="str">
        <f t="shared" si="0"/>
        <v>Research &amp; Department</v>
      </c>
      <c r="D12" t="s">
        <v>27</v>
      </c>
      <c r="E12" t="str">
        <f t="shared" si="1"/>
        <v>Technova</v>
      </c>
      <c r="F12">
        <v>4</v>
      </c>
      <c r="G12">
        <v>11000</v>
      </c>
      <c r="H12" s="1">
        <v>39784</v>
      </c>
      <c r="I12">
        <v>4</v>
      </c>
      <c r="J12" t="s">
        <v>21</v>
      </c>
      <c r="K12">
        <f t="shared" si="2"/>
        <v>1</v>
      </c>
      <c r="L12">
        <f t="shared" si="3"/>
        <v>9.0909090909090904E-5</v>
      </c>
      <c r="M12" t="b">
        <f t="shared" si="4"/>
        <v>0</v>
      </c>
      <c r="N12" t="b">
        <f t="shared" si="5"/>
        <v>0</v>
      </c>
      <c r="O12" t="s">
        <v>22</v>
      </c>
      <c r="P12">
        <f t="shared" si="6"/>
        <v>0.86363636363636354</v>
      </c>
      <c r="Q12">
        <f t="shared" si="7"/>
        <v>0.75</v>
      </c>
      <c r="R12">
        <f t="shared" si="8"/>
        <v>0.81818181818181812</v>
      </c>
    </row>
    <row r="13" spans="1:18">
      <c r="A13" t="s">
        <v>35</v>
      </c>
      <c r="B13" t="s">
        <v>19</v>
      </c>
      <c r="C13" t="str">
        <f t="shared" si="0"/>
        <v>Research &amp; Department</v>
      </c>
      <c r="D13" t="s">
        <v>27</v>
      </c>
      <c r="E13" t="str">
        <f t="shared" si="1"/>
        <v>Technova</v>
      </c>
      <c r="F13">
        <v>16</v>
      </c>
      <c r="G13">
        <v>11000</v>
      </c>
      <c r="H13" s="1">
        <v>39083</v>
      </c>
      <c r="I13">
        <v>4</v>
      </c>
      <c r="J13" t="s">
        <v>21</v>
      </c>
      <c r="K13">
        <f t="shared" si="2"/>
        <v>1</v>
      </c>
      <c r="L13">
        <f t="shared" si="3"/>
        <v>9.0909090909090904E-5</v>
      </c>
      <c r="M13" t="b">
        <f t="shared" si="4"/>
        <v>1</v>
      </c>
      <c r="N13" t="b">
        <f t="shared" si="5"/>
        <v>1</v>
      </c>
      <c r="O13" t="s">
        <v>22</v>
      </c>
      <c r="P13">
        <f t="shared" si="6"/>
        <v>0.86363636363636354</v>
      </c>
      <c r="Q13">
        <f t="shared" si="7"/>
        <v>0.75</v>
      </c>
      <c r="R13">
        <f t="shared" si="8"/>
        <v>0.81818181818181812</v>
      </c>
    </row>
    <row r="14" spans="1:18">
      <c r="A14" t="s">
        <v>36</v>
      </c>
      <c r="B14" t="s">
        <v>25</v>
      </c>
      <c r="C14" t="str">
        <f t="shared" si="0"/>
        <v>Sales &amp; Marketing</v>
      </c>
      <c r="D14" t="s">
        <v>27</v>
      </c>
      <c r="E14" t="str">
        <f t="shared" si="1"/>
        <v>Technova</v>
      </c>
      <c r="F14">
        <v>5</v>
      </c>
      <c r="G14">
        <v>11000</v>
      </c>
      <c r="H14" s="1">
        <v>44684</v>
      </c>
      <c r="I14">
        <v>4</v>
      </c>
      <c r="J14" t="s">
        <v>21</v>
      </c>
      <c r="K14">
        <f t="shared" si="2"/>
        <v>1</v>
      </c>
      <c r="L14">
        <f t="shared" si="3"/>
        <v>9.0909090909090904E-5</v>
      </c>
      <c r="M14" t="b">
        <f t="shared" si="4"/>
        <v>0</v>
      </c>
      <c r="N14" t="b">
        <f t="shared" si="5"/>
        <v>0</v>
      </c>
      <c r="O14" t="s">
        <v>22</v>
      </c>
      <c r="P14">
        <f t="shared" si="6"/>
        <v>0.86363636363636354</v>
      </c>
      <c r="Q14">
        <f t="shared" si="7"/>
        <v>0.75</v>
      </c>
      <c r="R14">
        <f t="shared" si="8"/>
        <v>0.81818181818181812</v>
      </c>
    </row>
    <row r="15" spans="1:18">
      <c r="A15" t="s">
        <v>37</v>
      </c>
      <c r="B15" t="s">
        <v>25</v>
      </c>
      <c r="C15" t="str">
        <f t="shared" si="0"/>
        <v>Sales &amp; Marketing</v>
      </c>
      <c r="D15" t="s">
        <v>20</v>
      </c>
      <c r="E15" t="str">
        <f t="shared" si="1"/>
        <v>Dataverse</v>
      </c>
      <c r="F15">
        <v>14</v>
      </c>
      <c r="G15">
        <v>11000</v>
      </c>
      <c r="H15" s="1">
        <v>38643</v>
      </c>
      <c r="I15">
        <v>4</v>
      </c>
      <c r="J15" t="s">
        <v>21</v>
      </c>
      <c r="K15">
        <f t="shared" si="2"/>
        <v>1</v>
      </c>
      <c r="L15">
        <f t="shared" si="3"/>
        <v>9.0909090909090904E-5</v>
      </c>
      <c r="M15" t="b">
        <f t="shared" si="4"/>
        <v>0</v>
      </c>
      <c r="N15" t="b">
        <f t="shared" si="5"/>
        <v>1</v>
      </c>
      <c r="O15" t="s">
        <v>22</v>
      </c>
      <c r="P15">
        <f t="shared" si="6"/>
        <v>0.86363636363636354</v>
      </c>
      <c r="Q15">
        <f t="shared" si="7"/>
        <v>0.75</v>
      </c>
      <c r="R15">
        <f t="shared" si="8"/>
        <v>0.81818181818181812</v>
      </c>
    </row>
    <row r="16" spans="1:18">
      <c r="A16" t="s">
        <v>38</v>
      </c>
      <c r="B16" t="s">
        <v>25</v>
      </c>
      <c r="C16" t="str">
        <f t="shared" si="0"/>
        <v>Sales &amp; Marketing</v>
      </c>
      <c r="D16" t="s">
        <v>20</v>
      </c>
      <c r="E16" t="str">
        <f t="shared" si="1"/>
        <v>Dataverse</v>
      </c>
      <c r="F16">
        <v>21</v>
      </c>
      <c r="G16">
        <v>11000</v>
      </c>
      <c r="H16" s="1">
        <v>44253</v>
      </c>
      <c r="I16">
        <v>4</v>
      </c>
      <c r="J16" t="s">
        <v>21</v>
      </c>
      <c r="K16">
        <f t="shared" si="2"/>
        <v>1</v>
      </c>
      <c r="L16">
        <f t="shared" si="3"/>
        <v>9.0909090909090904E-5</v>
      </c>
      <c r="M16" t="b">
        <f t="shared" si="4"/>
        <v>1</v>
      </c>
      <c r="N16" t="b">
        <f t="shared" si="5"/>
        <v>1</v>
      </c>
      <c r="O16" t="s">
        <v>22</v>
      </c>
      <c r="P16">
        <f t="shared" si="6"/>
        <v>0.86363636363636354</v>
      </c>
      <c r="Q16">
        <f t="shared" si="7"/>
        <v>0.75</v>
      </c>
      <c r="R16">
        <f t="shared" si="8"/>
        <v>0.81818181818181812</v>
      </c>
    </row>
    <row r="17" spans="1:18">
      <c r="A17" t="s">
        <v>39</v>
      </c>
      <c r="B17" t="s">
        <v>25</v>
      </c>
      <c r="C17" t="str">
        <f t="shared" si="0"/>
        <v>Sales &amp; Marketing</v>
      </c>
      <c r="D17" t="s">
        <v>20</v>
      </c>
      <c r="E17" t="str">
        <f t="shared" si="1"/>
        <v>Dataverse</v>
      </c>
      <c r="F17">
        <v>18</v>
      </c>
      <c r="G17">
        <v>11000</v>
      </c>
      <c r="H17" s="1">
        <v>41433</v>
      </c>
      <c r="I17">
        <v>4</v>
      </c>
      <c r="J17" t="s">
        <v>21</v>
      </c>
      <c r="K17">
        <f t="shared" si="2"/>
        <v>1</v>
      </c>
      <c r="L17">
        <f t="shared" si="3"/>
        <v>9.0909090909090904E-5</v>
      </c>
      <c r="M17" t="b">
        <f t="shared" si="4"/>
        <v>1</v>
      </c>
      <c r="N17" t="b">
        <f t="shared" si="5"/>
        <v>1</v>
      </c>
      <c r="O17" t="s">
        <v>22</v>
      </c>
      <c r="P17">
        <f t="shared" si="6"/>
        <v>0.86363636363636354</v>
      </c>
      <c r="Q17">
        <f t="shared" si="7"/>
        <v>0.75</v>
      </c>
      <c r="R17">
        <f t="shared" si="8"/>
        <v>0.81818181818181812</v>
      </c>
    </row>
    <row r="18" spans="1:18">
      <c r="A18" t="s">
        <v>40</v>
      </c>
      <c r="B18" t="s">
        <v>25</v>
      </c>
      <c r="C18" t="str">
        <f t="shared" si="0"/>
        <v>Sales &amp; Marketing</v>
      </c>
      <c r="D18" t="s">
        <v>20</v>
      </c>
      <c r="E18" t="str">
        <f t="shared" si="1"/>
        <v>Dataverse</v>
      </c>
      <c r="F18">
        <v>3</v>
      </c>
      <c r="G18">
        <v>11000</v>
      </c>
      <c r="H18" s="1">
        <v>43115</v>
      </c>
      <c r="I18">
        <v>4</v>
      </c>
      <c r="J18" t="s">
        <v>21</v>
      </c>
      <c r="K18">
        <f t="shared" si="2"/>
        <v>1</v>
      </c>
      <c r="L18">
        <f t="shared" si="3"/>
        <v>9.0909090909090904E-5</v>
      </c>
      <c r="M18" t="b">
        <f t="shared" si="4"/>
        <v>0</v>
      </c>
      <c r="N18" t="b">
        <f t="shared" si="5"/>
        <v>0</v>
      </c>
      <c r="O18" t="s">
        <v>22</v>
      </c>
      <c r="P18">
        <f t="shared" si="6"/>
        <v>0.86363636363636354</v>
      </c>
      <c r="Q18">
        <f t="shared" si="7"/>
        <v>0.75</v>
      </c>
      <c r="R18">
        <f t="shared" si="8"/>
        <v>0.81818181818181812</v>
      </c>
    </row>
    <row r="19" spans="1:18">
      <c r="A19" t="s">
        <v>41</v>
      </c>
      <c r="B19" t="s">
        <v>25</v>
      </c>
      <c r="C19" t="str">
        <f t="shared" si="0"/>
        <v>Sales &amp; Marketing</v>
      </c>
      <c r="D19" t="s">
        <v>27</v>
      </c>
      <c r="E19" t="str">
        <f t="shared" si="1"/>
        <v>Technova</v>
      </c>
      <c r="F19">
        <v>23</v>
      </c>
      <c r="G19">
        <v>10000</v>
      </c>
      <c r="H19" s="1">
        <v>41312</v>
      </c>
      <c r="I19">
        <v>3</v>
      </c>
      <c r="J19" t="s">
        <v>21</v>
      </c>
      <c r="K19">
        <f t="shared" si="2"/>
        <v>1</v>
      </c>
      <c r="L19">
        <f t="shared" si="3"/>
        <v>1E-4</v>
      </c>
      <c r="M19" t="b">
        <f t="shared" si="4"/>
        <v>1</v>
      </c>
      <c r="N19" t="b">
        <f t="shared" si="5"/>
        <v>1</v>
      </c>
      <c r="O19" t="s">
        <v>22</v>
      </c>
      <c r="P19">
        <f t="shared" si="6"/>
        <v>1</v>
      </c>
      <c r="Q19">
        <f t="shared" si="7"/>
        <v>0.5</v>
      </c>
      <c r="R19">
        <f t="shared" si="8"/>
        <v>0.8</v>
      </c>
    </row>
    <row r="20" spans="1:18">
      <c r="A20" t="s">
        <v>42</v>
      </c>
      <c r="B20" t="s">
        <v>19</v>
      </c>
      <c r="C20" t="str">
        <f t="shared" si="0"/>
        <v>Research &amp; Department</v>
      </c>
      <c r="D20" t="s">
        <v>20</v>
      </c>
      <c r="E20" t="str">
        <f t="shared" si="1"/>
        <v>Dataverse</v>
      </c>
      <c r="F20">
        <v>22</v>
      </c>
      <c r="G20">
        <v>13000</v>
      </c>
      <c r="H20" s="1">
        <v>40373</v>
      </c>
      <c r="I20">
        <v>5</v>
      </c>
      <c r="J20" t="s">
        <v>21</v>
      </c>
      <c r="K20">
        <f t="shared" si="2"/>
        <v>1</v>
      </c>
      <c r="L20">
        <f t="shared" si="3"/>
        <v>7.6923076923076926E-5</v>
      </c>
      <c r="M20" t="b">
        <f t="shared" si="4"/>
        <v>1</v>
      </c>
      <c r="N20" t="b">
        <f t="shared" si="5"/>
        <v>1</v>
      </c>
      <c r="O20" t="s">
        <v>22</v>
      </c>
      <c r="P20">
        <f t="shared" si="6"/>
        <v>0.65384615384615385</v>
      </c>
      <c r="Q20">
        <f t="shared" si="7"/>
        <v>1</v>
      </c>
      <c r="R20">
        <f t="shared" si="8"/>
        <v>0.79230769230769238</v>
      </c>
    </row>
    <row r="21" spans="1:18">
      <c r="A21" t="s">
        <v>43</v>
      </c>
      <c r="B21" t="s">
        <v>25</v>
      </c>
      <c r="C21" t="str">
        <f t="shared" si="0"/>
        <v>Sales &amp; Marketing</v>
      </c>
      <c r="D21" t="s">
        <v>27</v>
      </c>
      <c r="E21" t="str">
        <f t="shared" si="1"/>
        <v>Technova</v>
      </c>
      <c r="F21">
        <v>6</v>
      </c>
      <c r="G21">
        <v>13000</v>
      </c>
      <c r="H21" s="1">
        <v>40341</v>
      </c>
      <c r="I21">
        <v>5</v>
      </c>
      <c r="J21" t="s">
        <v>21</v>
      </c>
      <c r="K21">
        <f t="shared" si="2"/>
        <v>1</v>
      </c>
      <c r="L21">
        <f t="shared" si="3"/>
        <v>7.6923076923076926E-5</v>
      </c>
      <c r="M21" t="b">
        <f t="shared" si="4"/>
        <v>0</v>
      </c>
      <c r="N21" t="b">
        <f t="shared" si="5"/>
        <v>1</v>
      </c>
      <c r="O21" t="s">
        <v>22</v>
      </c>
      <c r="P21">
        <f t="shared" si="6"/>
        <v>0.65384615384615385</v>
      </c>
      <c r="Q21">
        <f t="shared" si="7"/>
        <v>1</v>
      </c>
      <c r="R21">
        <f t="shared" si="8"/>
        <v>0.79230769230769238</v>
      </c>
    </row>
    <row r="22" spans="1:18">
      <c r="A22" t="s">
        <v>44</v>
      </c>
      <c r="B22" t="s">
        <v>19</v>
      </c>
      <c r="C22" t="str">
        <f t="shared" si="0"/>
        <v>Research &amp; Department</v>
      </c>
      <c r="D22" t="s">
        <v>27</v>
      </c>
      <c r="E22" t="str">
        <f t="shared" si="1"/>
        <v>Technova</v>
      </c>
      <c r="F22">
        <v>18</v>
      </c>
      <c r="G22">
        <v>12000</v>
      </c>
      <c r="H22" s="1">
        <v>42622</v>
      </c>
      <c r="I22">
        <v>4</v>
      </c>
      <c r="J22" t="s">
        <v>21</v>
      </c>
      <c r="K22">
        <f t="shared" si="2"/>
        <v>1</v>
      </c>
      <c r="L22">
        <f t="shared" si="3"/>
        <v>8.3333333333333331E-5</v>
      </c>
      <c r="M22" t="b">
        <f t="shared" si="4"/>
        <v>1</v>
      </c>
      <c r="N22" t="b">
        <f t="shared" si="5"/>
        <v>1</v>
      </c>
      <c r="O22" t="s">
        <v>22</v>
      </c>
      <c r="P22">
        <f t="shared" si="6"/>
        <v>0.74999999999999989</v>
      </c>
      <c r="Q22">
        <f t="shared" si="7"/>
        <v>0.75</v>
      </c>
      <c r="R22">
        <f t="shared" si="8"/>
        <v>0.75</v>
      </c>
    </row>
    <row r="23" spans="1:18">
      <c r="A23" t="s">
        <v>45</v>
      </c>
      <c r="B23" t="s">
        <v>19</v>
      </c>
      <c r="C23" t="str">
        <f t="shared" si="0"/>
        <v>Research &amp; Department</v>
      </c>
      <c r="D23" t="s">
        <v>27</v>
      </c>
      <c r="E23" t="str">
        <f t="shared" si="1"/>
        <v>Technova</v>
      </c>
      <c r="F23">
        <v>19</v>
      </c>
      <c r="G23">
        <v>12000</v>
      </c>
      <c r="H23" s="1">
        <v>39840</v>
      </c>
      <c r="I23">
        <v>4</v>
      </c>
      <c r="J23" t="s">
        <v>21</v>
      </c>
      <c r="K23">
        <f t="shared" si="2"/>
        <v>1</v>
      </c>
      <c r="L23">
        <f t="shared" si="3"/>
        <v>8.3333333333333331E-5</v>
      </c>
      <c r="M23" t="b">
        <f t="shared" si="4"/>
        <v>1</v>
      </c>
      <c r="N23" t="b">
        <f t="shared" si="5"/>
        <v>1</v>
      </c>
      <c r="O23" t="s">
        <v>22</v>
      </c>
      <c r="P23">
        <f t="shared" si="6"/>
        <v>0.74999999999999989</v>
      </c>
      <c r="Q23">
        <f t="shared" si="7"/>
        <v>0.75</v>
      </c>
      <c r="R23">
        <f t="shared" si="8"/>
        <v>0.75</v>
      </c>
    </row>
    <row r="24" spans="1:18">
      <c r="A24" t="s">
        <v>46</v>
      </c>
      <c r="B24" t="s">
        <v>25</v>
      </c>
      <c r="C24" t="str">
        <f t="shared" si="0"/>
        <v>Sales &amp; Marketing</v>
      </c>
      <c r="D24" t="s">
        <v>27</v>
      </c>
      <c r="E24" t="str">
        <f t="shared" si="1"/>
        <v>Technova</v>
      </c>
      <c r="F24">
        <v>7</v>
      </c>
      <c r="G24">
        <v>12000</v>
      </c>
      <c r="H24" s="1">
        <v>38673</v>
      </c>
      <c r="I24">
        <v>4</v>
      </c>
      <c r="J24" t="s">
        <v>21</v>
      </c>
      <c r="K24">
        <f t="shared" si="2"/>
        <v>1</v>
      </c>
      <c r="L24">
        <f t="shared" si="3"/>
        <v>8.3333333333333331E-5</v>
      </c>
      <c r="M24" t="b">
        <f t="shared" si="4"/>
        <v>0</v>
      </c>
      <c r="N24" t="b">
        <f t="shared" si="5"/>
        <v>1</v>
      </c>
      <c r="O24" t="s">
        <v>22</v>
      </c>
      <c r="P24">
        <f t="shared" si="6"/>
        <v>0.74999999999999989</v>
      </c>
      <c r="Q24">
        <f t="shared" si="7"/>
        <v>0.75</v>
      </c>
      <c r="R24">
        <f t="shared" si="8"/>
        <v>0.75</v>
      </c>
    </row>
    <row r="25" spans="1:18">
      <c r="A25" t="s">
        <v>47</v>
      </c>
      <c r="B25" t="s">
        <v>19</v>
      </c>
      <c r="C25" t="str">
        <f t="shared" si="0"/>
        <v>Research &amp; Department</v>
      </c>
      <c r="D25" t="s">
        <v>27</v>
      </c>
      <c r="E25" t="str">
        <f t="shared" si="1"/>
        <v>Technova</v>
      </c>
      <c r="F25">
        <v>21</v>
      </c>
      <c r="G25">
        <v>14000</v>
      </c>
      <c r="H25" s="1">
        <v>40516</v>
      </c>
      <c r="I25">
        <v>5</v>
      </c>
      <c r="J25" t="s">
        <v>21</v>
      </c>
      <c r="K25">
        <f t="shared" si="2"/>
        <v>1</v>
      </c>
      <c r="L25">
        <f t="shared" si="3"/>
        <v>7.1428571428571434E-5</v>
      </c>
      <c r="M25" t="b">
        <f t="shared" si="4"/>
        <v>1</v>
      </c>
      <c r="N25" t="b">
        <f t="shared" si="5"/>
        <v>1</v>
      </c>
      <c r="O25" t="s">
        <v>22</v>
      </c>
      <c r="P25">
        <f t="shared" si="6"/>
        <v>0.57142857142857151</v>
      </c>
      <c r="Q25">
        <f t="shared" si="7"/>
        <v>1</v>
      </c>
      <c r="R25">
        <f t="shared" si="8"/>
        <v>0.74285714285714288</v>
      </c>
    </row>
    <row r="26" spans="1:18">
      <c r="A26" t="s">
        <v>48</v>
      </c>
      <c r="B26" t="s">
        <v>19</v>
      </c>
      <c r="C26" t="str">
        <f t="shared" si="0"/>
        <v>Research &amp; Department</v>
      </c>
      <c r="D26" t="s">
        <v>20</v>
      </c>
      <c r="E26" t="str">
        <f t="shared" si="1"/>
        <v>Dataverse</v>
      </c>
      <c r="F26">
        <v>6</v>
      </c>
      <c r="G26">
        <v>11000</v>
      </c>
      <c r="H26" s="1">
        <v>45198</v>
      </c>
      <c r="I26">
        <v>3</v>
      </c>
      <c r="J26" t="s">
        <v>21</v>
      </c>
      <c r="K26">
        <f t="shared" si="2"/>
        <v>1</v>
      </c>
      <c r="L26">
        <f t="shared" si="3"/>
        <v>9.0909090909090904E-5</v>
      </c>
      <c r="M26" t="b">
        <f t="shared" si="4"/>
        <v>0</v>
      </c>
      <c r="N26" t="b">
        <f t="shared" si="5"/>
        <v>1</v>
      </c>
      <c r="O26" t="s">
        <v>22</v>
      </c>
      <c r="P26">
        <f t="shared" si="6"/>
        <v>0.86363636363636354</v>
      </c>
      <c r="Q26">
        <f t="shared" si="7"/>
        <v>0.5</v>
      </c>
      <c r="R26">
        <f t="shared" si="8"/>
        <v>0.71818181818181803</v>
      </c>
    </row>
    <row r="27" spans="1:18">
      <c r="A27" t="s">
        <v>49</v>
      </c>
      <c r="B27" t="s">
        <v>19</v>
      </c>
      <c r="C27" t="str">
        <f t="shared" si="0"/>
        <v>Research &amp; Department</v>
      </c>
      <c r="D27" t="s">
        <v>20</v>
      </c>
      <c r="E27" t="str">
        <f t="shared" si="1"/>
        <v>Dataverse</v>
      </c>
      <c r="F27">
        <v>9</v>
      </c>
      <c r="G27">
        <v>11000</v>
      </c>
      <c r="H27" s="1">
        <v>40981</v>
      </c>
      <c r="I27">
        <v>3</v>
      </c>
      <c r="J27" t="s">
        <v>21</v>
      </c>
      <c r="K27">
        <f t="shared" si="2"/>
        <v>1</v>
      </c>
      <c r="L27">
        <f t="shared" si="3"/>
        <v>9.0909090909090904E-5</v>
      </c>
      <c r="M27" t="b">
        <f t="shared" si="4"/>
        <v>0</v>
      </c>
      <c r="N27" t="b">
        <f t="shared" si="5"/>
        <v>1</v>
      </c>
      <c r="O27" t="s">
        <v>22</v>
      </c>
      <c r="P27">
        <f t="shared" si="6"/>
        <v>0.86363636363636354</v>
      </c>
      <c r="Q27">
        <f t="shared" si="7"/>
        <v>0.5</v>
      </c>
      <c r="R27">
        <f t="shared" si="8"/>
        <v>0.71818181818181803</v>
      </c>
    </row>
    <row r="28" spans="1:18">
      <c r="A28" t="s">
        <v>50</v>
      </c>
      <c r="B28" t="s">
        <v>19</v>
      </c>
      <c r="C28" t="str">
        <f t="shared" si="0"/>
        <v>Research &amp; Department</v>
      </c>
      <c r="D28" t="s">
        <v>27</v>
      </c>
      <c r="E28" t="str">
        <f t="shared" si="1"/>
        <v>Technova</v>
      </c>
      <c r="F28">
        <v>13</v>
      </c>
      <c r="G28">
        <v>11000</v>
      </c>
      <c r="H28" s="1">
        <v>44170</v>
      </c>
      <c r="I28">
        <v>3</v>
      </c>
      <c r="J28" t="s">
        <v>21</v>
      </c>
      <c r="K28">
        <f t="shared" si="2"/>
        <v>1</v>
      </c>
      <c r="L28">
        <f t="shared" si="3"/>
        <v>9.0909090909090904E-5</v>
      </c>
      <c r="M28" t="b">
        <f t="shared" si="4"/>
        <v>0</v>
      </c>
      <c r="N28" t="b">
        <f t="shared" si="5"/>
        <v>1</v>
      </c>
      <c r="O28" t="s">
        <v>22</v>
      </c>
      <c r="P28">
        <f t="shared" si="6"/>
        <v>0.86363636363636354</v>
      </c>
      <c r="Q28">
        <f t="shared" si="7"/>
        <v>0.5</v>
      </c>
      <c r="R28">
        <f t="shared" si="8"/>
        <v>0.71818181818181803</v>
      </c>
    </row>
    <row r="29" spans="1:18">
      <c r="A29" t="s">
        <v>51</v>
      </c>
      <c r="B29" t="s">
        <v>19</v>
      </c>
      <c r="C29" t="str">
        <f t="shared" si="0"/>
        <v>Research &amp; Department</v>
      </c>
      <c r="D29" t="s">
        <v>20</v>
      </c>
      <c r="E29" t="str">
        <f t="shared" si="1"/>
        <v>Dataverse</v>
      </c>
      <c r="F29">
        <v>5</v>
      </c>
      <c r="G29">
        <v>15000</v>
      </c>
      <c r="H29" s="1">
        <v>41338</v>
      </c>
      <c r="I29">
        <v>5</v>
      </c>
      <c r="J29" t="s">
        <v>21</v>
      </c>
      <c r="K29">
        <f t="shared" si="2"/>
        <v>1</v>
      </c>
      <c r="L29">
        <f t="shared" si="3"/>
        <v>6.666666666666667E-5</v>
      </c>
      <c r="M29" t="b">
        <f t="shared" si="4"/>
        <v>0</v>
      </c>
      <c r="N29" t="b">
        <f t="shared" si="5"/>
        <v>0</v>
      </c>
      <c r="O29" t="s">
        <v>22</v>
      </c>
      <c r="P29">
        <f t="shared" si="6"/>
        <v>0.5</v>
      </c>
      <c r="Q29">
        <f t="shared" si="7"/>
        <v>1</v>
      </c>
      <c r="R29">
        <f t="shared" si="8"/>
        <v>0.7</v>
      </c>
    </row>
    <row r="30" spans="1:18">
      <c r="A30" t="s">
        <v>52</v>
      </c>
      <c r="B30" t="s">
        <v>25</v>
      </c>
      <c r="C30" t="str">
        <f t="shared" si="0"/>
        <v>Sales &amp; Marketing</v>
      </c>
      <c r="D30" t="s">
        <v>20</v>
      </c>
      <c r="E30" t="str">
        <f t="shared" si="1"/>
        <v>Dataverse</v>
      </c>
      <c r="F30">
        <v>15</v>
      </c>
      <c r="G30">
        <v>10000</v>
      </c>
      <c r="H30" s="1">
        <v>41226</v>
      </c>
      <c r="I30">
        <v>2</v>
      </c>
      <c r="J30" t="s">
        <v>21</v>
      </c>
      <c r="K30">
        <f t="shared" si="2"/>
        <v>1</v>
      </c>
      <c r="L30">
        <f t="shared" si="3"/>
        <v>1E-4</v>
      </c>
      <c r="M30" t="b">
        <f t="shared" si="4"/>
        <v>0</v>
      </c>
      <c r="N30" t="b">
        <f t="shared" si="5"/>
        <v>1</v>
      </c>
      <c r="O30" t="s">
        <v>22</v>
      </c>
      <c r="P30">
        <f t="shared" si="6"/>
        <v>1</v>
      </c>
      <c r="Q30">
        <f t="shared" si="7"/>
        <v>0.25</v>
      </c>
      <c r="R30">
        <f t="shared" si="8"/>
        <v>0.7</v>
      </c>
    </row>
    <row r="31" spans="1:18">
      <c r="A31" t="s">
        <v>53</v>
      </c>
      <c r="B31" t="s">
        <v>25</v>
      </c>
      <c r="C31" t="str">
        <f t="shared" si="0"/>
        <v>Sales &amp; Marketing</v>
      </c>
      <c r="D31" t="s">
        <v>20</v>
      </c>
      <c r="E31" t="str">
        <f t="shared" si="1"/>
        <v>Dataverse</v>
      </c>
      <c r="F31">
        <v>25</v>
      </c>
      <c r="G31">
        <v>13000</v>
      </c>
      <c r="H31" s="1">
        <v>41693</v>
      </c>
      <c r="I31">
        <v>4</v>
      </c>
      <c r="J31" t="s">
        <v>21</v>
      </c>
      <c r="K31">
        <f t="shared" si="2"/>
        <v>1</v>
      </c>
      <c r="L31">
        <f t="shared" si="3"/>
        <v>7.6923076923076926E-5</v>
      </c>
      <c r="M31" t="b">
        <f t="shared" si="4"/>
        <v>1</v>
      </c>
      <c r="N31" t="b">
        <f t="shared" si="5"/>
        <v>1</v>
      </c>
      <c r="O31" t="s">
        <v>22</v>
      </c>
      <c r="P31">
        <f t="shared" si="6"/>
        <v>0.65384615384615385</v>
      </c>
      <c r="Q31">
        <f t="shared" si="7"/>
        <v>0.75</v>
      </c>
      <c r="R31">
        <f t="shared" si="8"/>
        <v>0.69230769230769229</v>
      </c>
    </row>
    <row r="32" spans="1:18">
      <c r="A32" t="s">
        <v>54</v>
      </c>
      <c r="B32" t="s">
        <v>25</v>
      </c>
      <c r="C32" t="str">
        <f t="shared" si="0"/>
        <v>Sales &amp; Marketing</v>
      </c>
      <c r="D32" t="s">
        <v>20</v>
      </c>
      <c r="E32" t="str">
        <f t="shared" si="1"/>
        <v>Dataverse</v>
      </c>
      <c r="F32">
        <v>4</v>
      </c>
      <c r="G32">
        <v>13000</v>
      </c>
      <c r="H32" s="1">
        <v>45030</v>
      </c>
      <c r="I32">
        <v>4</v>
      </c>
      <c r="J32" t="s">
        <v>21</v>
      </c>
      <c r="K32">
        <f t="shared" si="2"/>
        <v>1</v>
      </c>
      <c r="L32">
        <f t="shared" si="3"/>
        <v>7.6923076923076926E-5</v>
      </c>
      <c r="M32" t="b">
        <f t="shared" si="4"/>
        <v>0</v>
      </c>
      <c r="N32" t="b">
        <f t="shared" si="5"/>
        <v>0</v>
      </c>
      <c r="O32" t="s">
        <v>22</v>
      </c>
      <c r="P32">
        <f t="shared" si="6"/>
        <v>0.65384615384615385</v>
      </c>
      <c r="Q32">
        <f t="shared" si="7"/>
        <v>0.75</v>
      </c>
      <c r="R32">
        <f t="shared" si="8"/>
        <v>0.69230769230769229</v>
      </c>
    </row>
    <row r="33" spans="1:18">
      <c r="A33" t="s">
        <v>55</v>
      </c>
      <c r="B33" t="s">
        <v>56</v>
      </c>
      <c r="C33" t="str">
        <f t="shared" si="0"/>
        <v>IT &amp; Systems</v>
      </c>
      <c r="D33" t="s">
        <v>20</v>
      </c>
      <c r="E33" t="str">
        <f t="shared" si="1"/>
        <v>Dataverse</v>
      </c>
      <c r="F33">
        <v>16</v>
      </c>
      <c r="G33">
        <v>31000</v>
      </c>
      <c r="H33" s="1">
        <v>40325</v>
      </c>
      <c r="I33">
        <v>5</v>
      </c>
      <c r="J33" t="s">
        <v>57</v>
      </c>
      <c r="K33">
        <f t="shared" si="2"/>
        <v>2</v>
      </c>
      <c r="L33">
        <f t="shared" si="3"/>
        <v>6.4516129032258067E-5</v>
      </c>
      <c r="M33" t="b">
        <f t="shared" si="4"/>
        <v>1</v>
      </c>
      <c r="N33" t="b">
        <f t="shared" si="5"/>
        <v>1</v>
      </c>
      <c r="O33" t="s">
        <v>22</v>
      </c>
      <c r="P33">
        <f t="shared" si="6"/>
        <v>0.46774193548387094</v>
      </c>
      <c r="Q33">
        <f t="shared" si="7"/>
        <v>1</v>
      </c>
      <c r="R33">
        <f t="shared" si="8"/>
        <v>0.6806451612903226</v>
      </c>
    </row>
    <row r="34" spans="1:18">
      <c r="A34" t="s">
        <v>58</v>
      </c>
      <c r="B34" t="s">
        <v>56</v>
      </c>
      <c r="C34" t="str">
        <f t="shared" si="0"/>
        <v>IT &amp; Systems</v>
      </c>
      <c r="D34" t="s">
        <v>27</v>
      </c>
      <c r="E34" t="str">
        <f t="shared" si="1"/>
        <v>Technova</v>
      </c>
      <c r="F34">
        <v>1</v>
      </c>
      <c r="G34">
        <v>31000</v>
      </c>
      <c r="H34" s="1">
        <v>45245</v>
      </c>
      <c r="I34">
        <v>5</v>
      </c>
      <c r="J34" t="s">
        <v>57</v>
      </c>
      <c r="K34">
        <f t="shared" si="2"/>
        <v>2</v>
      </c>
      <c r="L34">
        <f t="shared" si="3"/>
        <v>6.4516129032258067E-5</v>
      </c>
      <c r="M34" t="b">
        <f t="shared" si="4"/>
        <v>0</v>
      </c>
      <c r="N34" t="b">
        <f t="shared" si="5"/>
        <v>0</v>
      </c>
      <c r="O34" t="s">
        <v>22</v>
      </c>
      <c r="P34">
        <f t="shared" si="6"/>
        <v>0.46774193548387094</v>
      </c>
      <c r="Q34">
        <f t="shared" si="7"/>
        <v>1</v>
      </c>
      <c r="R34">
        <f t="shared" si="8"/>
        <v>0.6806451612903226</v>
      </c>
    </row>
    <row r="35" spans="1:18">
      <c r="A35" t="s">
        <v>59</v>
      </c>
      <c r="B35" t="s">
        <v>60</v>
      </c>
      <c r="C35" t="str">
        <f t="shared" si="0"/>
        <v>Manufacturing and operations</v>
      </c>
      <c r="D35" t="s">
        <v>27</v>
      </c>
      <c r="E35" t="str">
        <f t="shared" si="1"/>
        <v>Technova</v>
      </c>
      <c r="F35">
        <v>6</v>
      </c>
      <c r="G35">
        <v>31000</v>
      </c>
      <c r="H35" s="1">
        <v>38394</v>
      </c>
      <c r="I35">
        <v>5</v>
      </c>
      <c r="J35" t="s">
        <v>57</v>
      </c>
      <c r="K35">
        <f t="shared" si="2"/>
        <v>2</v>
      </c>
      <c r="L35">
        <f t="shared" si="3"/>
        <v>6.4516129032258067E-5</v>
      </c>
      <c r="M35" t="b">
        <f t="shared" si="4"/>
        <v>0</v>
      </c>
      <c r="N35" t="b">
        <f t="shared" si="5"/>
        <v>1</v>
      </c>
      <c r="O35" t="s">
        <v>22</v>
      </c>
      <c r="P35">
        <f t="shared" si="6"/>
        <v>0.46774193548387094</v>
      </c>
      <c r="Q35">
        <f t="shared" si="7"/>
        <v>1</v>
      </c>
      <c r="R35">
        <f t="shared" si="8"/>
        <v>0.6806451612903226</v>
      </c>
    </row>
    <row r="36" spans="1:18">
      <c r="A36" t="s">
        <v>61</v>
      </c>
      <c r="B36" t="s">
        <v>60</v>
      </c>
      <c r="C36" t="str">
        <f t="shared" si="0"/>
        <v>Manufacturing and operations</v>
      </c>
      <c r="D36" t="s">
        <v>20</v>
      </c>
      <c r="E36" t="str">
        <f t="shared" si="1"/>
        <v>Dataverse</v>
      </c>
      <c r="F36">
        <v>15</v>
      </c>
      <c r="G36">
        <v>31000</v>
      </c>
      <c r="H36" s="1">
        <v>41530</v>
      </c>
      <c r="I36">
        <v>5</v>
      </c>
      <c r="J36" t="s">
        <v>57</v>
      </c>
      <c r="K36">
        <f t="shared" si="2"/>
        <v>2</v>
      </c>
      <c r="L36">
        <f t="shared" si="3"/>
        <v>6.4516129032258067E-5</v>
      </c>
      <c r="M36" t="b">
        <f t="shared" si="4"/>
        <v>0</v>
      </c>
      <c r="N36" t="b">
        <f t="shared" si="5"/>
        <v>1</v>
      </c>
      <c r="O36" t="s">
        <v>22</v>
      </c>
      <c r="P36">
        <f t="shared" si="6"/>
        <v>0.46774193548387094</v>
      </c>
      <c r="Q36">
        <f t="shared" si="7"/>
        <v>1</v>
      </c>
      <c r="R36">
        <f t="shared" si="8"/>
        <v>0.6806451612903226</v>
      </c>
    </row>
    <row r="37" spans="1:18">
      <c r="A37" t="s">
        <v>62</v>
      </c>
      <c r="B37" t="s">
        <v>60</v>
      </c>
      <c r="C37" t="str">
        <f t="shared" si="0"/>
        <v>Manufacturing and operations</v>
      </c>
      <c r="D37" t="s">
        <v>20</v>
      </c>
      <c r="E37" t="str">
        <f t="shared" si="1"/>
        <v>Dataverse</v>
      </c>
      <c r="F37">
        <v>14</v>
      </c>
      <c r="G37">
        <v>31000</v>
      </c>
      <c r="H37" s="1">
        <v>40691</v>
      </c>
      <c r="I37">
        <v>5</v>
      </c>
      <c r="J37" t="s">
        <v>57</v>
      </c>
      <c r="K37">
        <f t="shared" si="2"/>
        <v>2</v>
      </c>
      <c r="L37">
        <f t="shared" si="3"/>
        <v>6.4516129032258067E-5</v>
      </c>
      <c r="M37" t="b">
        <f t="shared" si="4"/>
        <v>0</v>
      </c>
      <c r="N37" t="b">
        <f t="shared" si="5"/>
        <v>1</v>
      </c>
      <c r="O37" t="s">
        <v>22</v>
      </c>
      <c r="P37">
        <f t="shared" si="6"/>
        <v>0.46774193548387094</v>
      </c>
      <c r="Q37">
        <f t="shared" si="7"/>
        <v>1</v>
      </c>
      <c r="R37">
        <f t="shared" si="8"/>
        <v>0.6806451612903226</v>
      </c>
    </row>
    <row r="38" spans="1:18">
      <c r="A38" t="s">
        <v>63</v>
      </c>
      <c r="B38" t="s">
        <v>60</v>
      </c>
      <c r="C38" t="str">
        <f t="shared" si="0"/>
        <v>Manufacturing and operations</v>
      </c>
      <c r="D38" t="s">
        <v>27</v>
      </c>
      <c r="E38" t="str">
        <f t="shared" si="1"/>
        <v>Technova</v>
      </c>
      <c r="F38">
        <v>5</v>
      </c>
      <c r="G38">
        <v>31000</v>
      </c>
      <c r="H38" s="1">
        <v>39910</v>
      </c>
      <c r="I38">
        <v>5</v>
      </c>
      <c r="J38" t="s">
        <v>57</v>
      </c>
      <c r="K38">
        <f t="shared" si="2"/>
        <v>2</v>
      </c>
      <c r="L38">
        <f t="shared" si="3"/>
        <v>6.4516129032258067E-5</v>
      </c>
      <c r="M38" t="b">
        <f t="shared" si="4"/>
        <v>0</v>
      </c>
      <c r="N38" t="b">
        <f t="shared" si="5"/>
        <v>0</v>
      </c>
      <c r="O38" t="s">
        <v>22</v>
      </c>
      <c r="P38">
        <f t="shared" si="6"/>
        <v>0.46774193548387094</v>
      </c>
      <c r="Q38">
        <f t="shared" si="7"/>
        <v>1</v>
      </c>
      <c r="R38">
        <f t="shared" si="8"/>
        <v>0.6806451612903226</v>
      </c>
    </row>
    <row r="39" spans="1:18">
      <c r="A39" t="s">
        <v>64</v>
      </c>
      <c r="B39" t="s">
        <v>60</v>
      </c>
      <c r="C39" t="str">
        <f t="shared" si="0"/>
        <v>Manufacturing and operations</v>
      </c>
      <c r="D39" t="s">
        <v>20</v>
      </c>
      <c r="E39" t="str">
        <f t="shared" si="1"/>
        <v>Dataverse</v>
      </c>
      <c r="F39">
        <v>9</v>
      </c>
      <c r="G39">
        <v>31000</v>
      </c>
      <c r="H39" s="1">
        <v>43183</v>
      </c>
      <c r="I39">
        <v>5</v>
      </c>
      <c r="J39" t="s">
        <v>57</v>
      </c>
      <c r="K39">
        <f t="shared" si="2"/>
        <v>2</v>
      </c>
      <c r="L39">
        <f t="shared" si="3"/>
        <v>6.4516129032258067E-5</v>
      </c>
      <c r="M39" t="b">
        <f t="shared" si="4"/>
        <v>0</v>
      </c>
      <c r="N39" t="b">
        <f t="shared" si="5"/>
        <v>1</v>
      </c>
      <c r="O39" t="s">
        <v>22</v>
      </c>
      <c r="P39">
        <f t="shared" si="6"/>
        <v>0.46774193548387094</v>
      </c>
      <c r="Q39">
        <f t="shared" si="7"/>
        <v>1</v>
      </c>
      <c r="R39">
        <f t="shared" si="8"/>
        <v>0.6806451612903226</v>
      </c>
    </row>
    <row r="40" spans="1:18">
      <c r="A40" t="s">
        <v>65</v>
      </c>
      <c r="B40" t="s">
        <v>60</v>
      </c>
      <c r="C40" t="str">
        <f t="shared" si="0"/>
        <v>Manufacturing and operations</v>
      </c>
      <c r="D40" t="s">
        <v>20</v>
      </c>
      <c r="E40" t="str">
        <f t="shared" si="1"/>
        <v>Dataverse</v>
      </c>
      <c r="F40">
        <v>10</v>
      </c>
      <c r="G40">
        <v>31000</v>
      </c>
      <c r="H40" s="1">
        <v>44832</v>
      </c>
      <c r="I40">
        <v>5</v>
      </c>
      <c r="J40" t="s">
        <v>57</v>
      </c>
      <c r="K40">
        <f t="shared" si="2"/>
        <v>2</v>
      </c>
      <c r="L40">
        <f t="shared" si="3"/>
        <v>6.4516129032258067E-5</v>
      </c>
      <c r="M40" t="b">
        <f t="shared" si="4"/>
        <v>0</v>
      </c>
      <c r="N40" t="b">
        <f t="shared" si="5"/>
        <v>1</v>
      </c>
      <c r="O40" t="s">
        <v>22</v>
      </c>
      <c r="P40">
        <f t="shared" si="6"/>
        <v>0.46774193548387094</v>
      </c>
      <c r="Q40">
        <f t="shared" si="7"/>
        <v>1</v>
      </c>
      <c r="R40">
        <f t="shared" si="8"/>
        <v>0.6806451612903226</v>
      </c>
    </row>
    <row r="41" spans="1:18">
      <c r="A41" t="s">
        <v>66</v>
      </c>
      <c r="B41" t="s">
        <v>67</v>
      </c>
      <c r="C41" t="str">
        <f t="shared" si="0"/>
        <v>Quality Assurance</v>
      </c>
      <c r="D41" t="s">
        <v>20</v>
      </c>
      <c r="E41" t="str">
        <f t="shared" si="1"/>
        <v>Dataverse</v>
      </c>
      <c r="F41">
        <v>21</v>
      </c>
      <c r="G41">
        <v>31000</v>
      </c>
      <c r="H41" s="1">
        <v>39824</v>
      </c>
      <c r="I41">
        <v>5</v>
      </c>
      <c r="J41" t="s">
        <v>57</v>
      </c>
      <c r="K41">
        <f t="shared" si="2"/>
        <v>2</v>
      </c>
      <c r="L41">
        <f t="shared" si="3"/>
        <v>6.4516129032258067E-5</v>
      </c>
      <c r="M41" t="b">
        <f t="shared" si="4"/>
        <v>1</v>
      </c>
      <c r="N41" t="b">
        <f t="shared" si="5"/>
        <v>1</v>
      </c>
      <c r="O41" t="s">
        <v>22</v>
      </c>
      <c r="P41">
        <f t="shared" si="6"/>
        <v>0.46774193548387094</v>
      </c>
      <c r="Q41">
        <f t="shared" si="7"/>
        <v>1</v>
      </c>
      <c r="R41">
        <f t="shared" si="8"/>
        <v>0.6806451612903226</v>
      </c>
    </row>
    <row r="42" spans="1:18">
      <c r="A42" t="s">
        <v>68</v>
      </c>
      <c r="B42" t="s">
        <v>67</v>
      </c>
      <c r="C42" t="str">
        <f t="shared" si="0"/>
        <v>Quality Assurance</v>
      </c>
      <c r="D42" t="s">
        <v>20</v>
      </c>
      <c r="E42" t="str">
        <f t="shared" si="1"/>
        <v>Dataverse</v>
      </c>
      <c r="F42">
        <v>20</v>
      </c>
      <c r="G42">
        <v>31000</v>
      </c>
      <c r="H42" s="1">
        <v>39001</v>
      </c>
      <c r="I42">
        <v>5</v>
      </c>
      <c r="J42" t="s">
        <v>57</v>
      </c>
      <c r="K42">
        <f t="shared" si="2"/>
        <v>2</v>
      </c>
      <c r="L42">
        <f t="shared" si="3"/>
        <v>6.4516129032258067E-5</v>
      </c>
      <c r="M42" t="b">
        <f t="shared" si="4"/>
        <v>1</v>
      </c>
      <c r="N42" t="b">
        <f t="shared" si="5"/>
        <v>1</v>
      </c>
      <c r="O42" t="s">
        <v>22</v>
      </c>
      <c r="P42">
        <f t="shared" si="6"/>
        <v>0.46774193548387094</v>
      </c>
      <c r="Q42">
        <f t="shared" si="7"/>
        <v>1</v>
      </c>
      <c r="R42">
        <f t="shared" si="8"/>
        <v>0.6806451612903226</v>
      </c>
    </row>
    <row r="43" spans="1:18">
      <c r="A43" t="s">
        <v>69</v>
      </c>
      <c r="B43" t="s">
        <v>70</v>
      </c>
      <c r="C43" t="str">
        <f t="shared" si="0"/>
        <v>Customer Experience</v>
      </c>
      <c r="D43" t="s">
        <v>20</v>
      </c>
      <c r="E43" t="str">
        <f t="shared" si="1"/>
        <v>Dataverse</v>
      </c>
      <c r="F43">
        <v>2</v>
      </c>
      <c r="G43">
        <v>32000</v>
      </c>
      <c r="H43" s="1">
        <v>41732</v>
      </c>
      <c r="I43">
        <v>5</v>
      </c>
      <c r="J43" t="s">
        <v>57</v>
      </c>
      <c r="K43">
        <f t="shared" si="2"/>
        <v>2</v>
      </c>
      <c r="L43">
        <f t="shared" si="3"/>
        <v>6.2500000000000001E-5</v>
      </c>
      <c r="M43" t="b">
        <f t="shared" si="4"/>
        <v>0</v>
      </c>
      <c r="N43" t="b">
        <f t="shared" si="5"/>
        <v>0</v>
      </c>
      <c r="O43" t="s">
        <v>22</v>
      </c>
      <c r="P43">
        <f t="shared" si="6"/>
        <v>0.4375</v>
      </c>
      <c r="Q43">
        <f t="shared" si="7"/>
        <v>1</v>
      </c>
      <c r="R43">
        <f t="shared" si="8"/>
        <v>0.66250000000000009</v>
      </c>
    </row>
    <row r="44" spans="1:18">
      <c r="A44" t="s">
        <v>71</v>
      </c>
      <c r="B44" t="s">
        <v>19</v>
      </c>
      <c r="C44" t="str">
        <f t="shared" si="0"/>
        <v>Research &amp; Department</v>
      </c>
      <c r="D44" t="s">
        <v>27</v>
      </c>
      <c r="E44" t="str">
        <f t="shared" si="1"/>
        <v>Technova</v>
      </c>
      <c r="F44">
        <v>1</v>
      </c>
      <c r="G44">
        <v>16000</v>
      </c>
      <c r="H44" s="1">
        <v>41752</v>
      </c>
      <c r="I44">
        <v>5</v>
      </c>
      <c r="J44" t="s">
        <v>21</v>
      </c>
      <c r="K44">
        <f t="shared" si="2"/>
        <v>1</v>
      </c>
      <c r="L44">
        <f t="shared" si="3"/>
        <v>6.2500000000000001E-5</v>
      </c>
      <c r="M44" t="b">
        <f t="shared" si="4"/>
        <v>0</v>
      </c>
      <c r="N44" t="b">
        <f t="shared" si="5"/>
        <v>0</v>
      </c>
      <c r="O44" t="s">
        <v>22</v>
      </c>
      <c r="P44">
        <f t="shared" si="6"/>
        <v>0.4375</v>
      </c>
      <c r="Q44">
        <f t="shared" si="7"/>
        <v>1</v>
      </c>
      <c r="R44">
        <f t="shared" si="8"/>
        <v>0.66250000000000009</v>
      </c>
    </row>
    <row r="45" spans="1:18">
      <c r="A45" t="s">
        <v>72</v>
      </c>
      <c r="B45" t="s">
        <v>19</v>
      </c>
      <c r="C45" t="str">
        <f t="shared" si="0"/>
        <v>Research &amp; Department</v>
      </c>
      <c r="D45" t="s">
        <v>20</v>
      </c>
      <c r="E45" t="str">
        <f t="shared" si="1"/>
        <v>Dataverse</v>
      </c>
      <c r="F45">
        <v>9</v>
      </c>
      <c r="G45">
        <v>16000</v>
      </c>
      <c r="H45" s="1">
        <v>39689</v>
      </c>
      <c r="I45">
        <v>5</v>
      </c>
      <c r="J45" t="s">
        <v>21</v>
      </c>
      <c r="K45">
        <f t="shared" si="2"/>
        <v>1</v>
      </c>
      <c r="L45">
        <f t="shared" si="3"/>
        <v>6.2500000000000001E-5</v>
      </c>
      <c r="M45" t="b">
        <f t="shared" si="4"/>
        <v>0</v>
      </c>
      <c r="N45" t="b">
        <f t="shared" si="5"/>
        <v>1</v>
      </c>
      <c r="O45" t="s">
        <v>22</v>
      </c>
      <c r="P45">
        <f t="shared" si="6"/>
        <v>0.4375</v>
      </c>
      <c r="Q45">
        <f t="shared" si="7"/>
        <v>1</v>
      </c>
      <c r="R45">
        <f t="shared" si="8"/>
        <v>0.66250000000000009</v>
      </c>
    </row>
    <row r="46" spans="1:18">
      <c r="A46" t="s">
        <v>73</v>
      </c>
      <c r="B46" t="s">
        <v>74</v>
      </c>
      <c r="C46" t="str">
        <f t="shared" si="0"/>
        <v>Human Resources</v>
      </c>
      <c r="D46" t="s">
        <v>27</v>
      </c>
      <c r="E46" t="str">
        <f t="shared" si="1"/>
        <v>Technova</v>
      </c>
      <c r="F46">
        <v>6</v>
      </c>
      <c r="G46">
        <v>32000</v>
      </c>
      <c r="H46" s="1">
        <v>40401</v>
      </c>
      <c r="I46">
        <v>5</v>
      </c>
      <c r="J46" t="s">
        <v>57</v>
      </c>
      <c r="K46">
        <f t="shared" si="2"/>
        <v>2</v>
      </c>
      <c r="L46">
        <f t="shared" si="3"/>
        <v>6.2500000000000001E-5</v>
      </c>
      <c r="M46" t="b">
        <f t="shared" si="4"/>
        <v>0</v>
      </c>
      <c r="N46" t="b">
        <f t="shared" si="5"/>
        <v>1</v>
      </c>
      <c r="O46" t="s">
        <v>22</v>
      </c>
      <c r="P46">
        <f t="shared" si="6"/>
        <v>0.4375</v>
      </c>
      <c r="Q46">
        <f t="shared" si="7"/>
        <v>1</v>
      </c>
      <c r="R46">
        <f t="shared" si="8"/>
        <v>0.66250000000000009</v>
      </c>
    </row>
    <row r="47" spans="1:18">
      <c r="A47" t="s">
        <v>75</v>
      </c>
      <c r="B47" t="s">
        <v>19</v>
      </c>
      <c r="C47" t="str">
        <f t="shared" si="0"/>
        <v>Research &amp; Department</v>
      </c>
      <c r="D47" t="s">
        <v>27</v>
      </c>
      <c r="E47" t="str">
        <f t="shared" si="1"/>
        <v>Technova</v>
      </c>
      <c r="F47">
        <v>7</v>
      </c>
      <c r="G47">
        <v>16000</v>
      </c>
      <c r="H47" s="1">
        <v>43988</v>
      </c>
      <c r="I47">
        <v>5</v>
      </c>
      <c r="J47" t="s">
        <v>21</v>
      </c>
      <c r="K47">
        <f t="shared" si="2"/>
        <v>1</v>
      </c>
      <c r="L47">
        <f t="shared" si="3"/>
        <v>6.2500000000000001E-5</v>
      </c>
      <c r="M47" t="b">
        <f t="shared" si="4"/>
        <v>0</v>
      </c>
      <c r="N47" t="b">
        <f t="shared" si="5"/>
        <v>1</v>
      </c>
      <c r="O47" t="s">
        <v>22</v>
      </c>
      <c r="P47">
        <f t="shared" si="6"/>
        <v>0.4375</v>
      </c>
      <c r="Q47">
        <f t="shared" si="7"/>
        <v>1</v>
      </c>
      <c r="R47">
        <f t="shared" si="8"/>
        <v>0.66250000000000009</v>
      </c>
    </row>
    <row r="48" spans="1:18">
      <c r="A48" t="s">
        <v>76</v>
      </c>
      <c r="B48" t="s">
        <v>56</v>
      </c>
      <c r="C48" t="str">
        <f t="shared" si="0"/>
        <v>IT &amp; Systems</v>
      </c>
      <c r="D48" t="s">
        <v>20</v>
      </c>
      <c r="E48" t="str">
        <f t="shared" si="1"/>
        <v>Dataverse</v>
      </c>
      <c r="F48">
        <v>8</v>
      </c>
      <c r="G48">
        <v>32000</v>
      </c>
      <c r="H48" s="1">
        <v>42743</v>
      </c>
      <c r="I48">
        <v>5</v>
      </c>
      <c r="J48" t="s">
        <v>57</v>
      </c>
      <c r="K48">
        <f t="shared" si="2"/>
        <v>2</v>
      </c>
      <c r="L48">
        <f t="shared" si="3"/>
        <v>6.2500000000000001E-5</v>
      </c>
      <c r="M48" t="b">
        <f t="shared" si="4"/>
        <v>0</v>
      </c>
      <c r="N48" t="b">
        <f t="shared" si="5"/>
        <v>1</v>
      </c>
      <c r="O48" t="s">
        <v>22</v>
      </c>
      <c r="P48">
        <f t="shared" si="6"/>
        <v>0.4375</v>
      </c>
      <c r="Q48">
        <f t="shared" si="7"/>
        <v>1</v>
      </c>
      <c r="R48">
        <f t="shared" si="8"/>
        <v>0.66250000000000009</v>
      </c>
    </row>
    <row r="49" spans="1:18">
      <c r="A49" t="s">
        <v>77</v>
      </c>
      <c r="B49" t="s">
        <v>56</v>
      </c>
      <c r="C49" t="str">
        <f t="shared" si="0"/>
        <v>IT &amp; Systems</v>
      </c>
      <c r="D49" t="s">
        <v>27</v>
      </c>
      <c r="E49" t="str">
        <f t="shared" si="1"/>
        <v>Technova</v>
      </c>
      <c r="F49">
        <v>21</v>
      </c>
      <c r="G49">
        <v>32000</v>
      </c>
      <c r="H49" s="1">
        <v>45414</v>
      </c>
      <c r="I49">
        <v>5</v>
      </c>
      <c r="J49" t="s">
        <v>57</v>
      </c>
      <c r="K49">
        <f t="shared" si="2"/>
        <v>2</v>
      </c>
      <c r="L49">
        <f t="shared" si="3"/>
        <v>6.2500000000000001E-5</v>
      </c>
      <c r="M49" t="b">
        <f t="shared" si="4"/>
        <v>1</v>
      </c>
      <c r="N49" t="b">
        <f t="shared" si="5"/>
        <v>1</v>
      </c>
      <c r="O49" t="s">
        <v>22</v>
      </c>
      <c r="P49">
        <f t="shared" si="6"/>
        <v>0.4375</v>
      </c>
      <c r="Q49">
        <f t="shared" si="7"/>
        <v>1</v>
      </c>
      <c r="R49">
        <f t="shared" si="8"/>
        <v>0.66250000000000009</v>
      </c>
    </row>
    <row r="50" spans="1:18">
      <c r="A50" t="s">
        <v>78</v>
      </c>
      <c r="B50" t="s">
        <v>60</v>
      </c>
      <c r="C50" t="str">
        <f t="shared" si="0"/>
        <v>Manufacturing and operations</v>
      </c>
      <c r="D50" t="s">
        <v>20</v>
      </c>
      <c r="E50" t="str">
        <f t="shared" si="1"/>
        <v>Dataverse</v>
      </c>
      <c r="F50">
        <v>12</v>
      </c>
      <c r="G50">
        <v>32000</v>
      </c>
      <c r="H50" s="1">
        <v>41351</v>
      </c>
      <c r="I50">
        <v>5</v>
      </c>
      <c r="J50" t="s">
        <v>57</v>
      </c>
      <c r="K50">
        <f t="shared" si="2"/>
        <v>2</v>
      </c>
      <c r="L50">
        <f t="shared" si="3"/>
        <v>6.2500000000000001E-5</v>
      </c>
      <c r="M50" t="b">
        <f t="shared" si="4"/>
        <v>0</v>
      </c>
      <c r="N50" t="b">
        <f t="shared" si="5"/>
        <v>1</v>
      </c>
      <c r="O50" t="s">
        <v>22</v>
      </c>
      <c r="P50">
        <f t="shared" si="6"/>
        <v>0.4375</v>
      </c>
      <c r="Q50">
        <f t="shared" si="7"/>
        <v>1</v>
      </c>
      <c r="R50">
        <f t="shared" si="8"/>
        <v>0.66250000000000009</v>
      </c>
    </row>
    <row r="51" spans="1:18">
      <c r="A51" t="s">
        <v>79</v>
      </c>
      <c r="B51" t="s">
        <v>25</v>
      </c>
      <c r="C51" t="str">
        <f t="shared" si="0"/>
        <v>Sales &amp; Marketing</v>
      </c>
      <c r="D51" t="s">
        <v>27</v>
      </c>
      <c r="E51" t="str">
        <f t="shared" si="1"/>
        <v>Technova</v>
      </c>
      <c r="F51">
        <v>25</v>
      </c>
      <c r="G51">
        <v>16000</v>
      </c>
      <c r="H51" s="1">
        <v>41684</v>
      </c>
      <c r="I51">
        <v>5</v>
      </c>
      <c r="J51" t="s">
        <v>21</v>
      </c>
      <c r="K51">
        <f t="shared" si="2"/>
        <v>1</v>
      </c>
      <c r="L51">
        <f t="shared" si="3"/>
        <v>6.2500000000000001E-5</v>
      </c>
      <c r="M51" t="b">
        <f t="shared" si="4"/>
        <v>1</v>
      </c>
      <c r="N51" t="b">
        <f t="shared" si="5"/>
        <v>1</v>
      </c>
      <c r="O51" t="s">
        <v>22</v>
      </c>
      <c r="P51">
        <f t="shared" si="6"/>
        <v>0.4375</v>
      </c>
      <c r="Q51">
        <f t="shared" si="7"/>
        <v>1</v>
      </c>
      <c r="R51">
        <f t="shared" si="8"/>
        <v>0.66250000000000009</v>
      </c>
    </row>
    <row r="52" spans="1:18">
      <c r="A52" t="s">
        <v>80</v>
      </c>
      <c r="B52" t="s">
        <v>60</v>
      </c>
      <c r="C52" t="str">
        <f t="shared" si="0"/>
        <v>Manufacturing and operations</v>
      </c>
      <c r="D52" t="s">
        <v>20</v>
      </c>
      <c r="E52" t="str">
        <f t="shared" si="1"/>
        <v>Dataverse</v>
      </c>
      <c r="F52">
        <v>23</v>
      </c>
      <c r="G52">
        <v>32000</v>
      </c>
      <c r="H52" s="1">
        <v>43692</v>
      </c>
      <c r="I52">
        <v>5</v>
      </c>
      <c r="J52" t="s">
        <v>57</v>
      </c>
      <c r="K52">
        <f t="shared" si="2"/>
        <v>2</v>
      </c>
      <c r="L52">
        <f t="shared" si="3"/>
        <v>6.2500000000000001E-5</v>
      </c>
      <c r="M52" t="b">
        <f t="shared" si="4"/>
        <v>1</v>
      </c>
      <c r="N52" t="b">
        <f t="shared" si="5"/>
        <v>1</v>
      </c>
      <c r="O52" t="s">
        <v>22</v>
      </c>
      <c r="P52">
        <f t="shared" si="6"/>
        <v>0.4375</v>
      </c>
      <c r="Q52">
        <f t="shared" si="7"/>
        <v>1</v>
      </c>
      <c r="R52">
        <f t="shared" si="8"/>
        <v>0.66250000000000009</v>
      </c>
    </row>
    <row r="53" spans="1:18">
      <c r="A53" t="s">
        <v>81</v>
      </c>
      <c r="B53" t="s">
        <v>67</v>
      </c>
      <c r="C53" t="str">
        <f t="shared" si="0"/>
        <v>Quality Assurance</v>
      </c>
      <c r="D53" t="s">
        <v>20</v>
      </c>
      <c r="E53" t="str">
        <f t="shared" si="1"/>
        <v>Dataverse</v>
      </c>
      <c r="F53">
        <v>15</v>
      </c>
      <c r="G53">
        <v>32000</v>
      </c>
      <c r="H53" s="1">
        <v>44656</v>
      </c>
      <c r="I53">
        <v>5</v>
      </c>
      <c r="J53" t="s">
        <v>57</v>
      </c>
      <c r="K53">
        <f t="shared" si="2"/>
        <v>2</v>
      </c>
      <c r="L53">
        <f t="shared" si="3"/>
        <v>6.2500000000000001E-5</v>
      </c>
      <c r="M53" t="b">
        <f t="shared" si="4"/>
        <v>0</v>
      </c>
      <c r="N53" t="b">
        <f t="shared" si="5"/>
        <v>1</v>
      </c>
      <c r="O53" t="s">
        <v>22</v>
      </c>
      <c r="P53">
        <f t="shared" si="6"/>
        <v>0.4375</v>
      </c>
      <c r="Q53">
        <f t="shared" si="7"/>
        <v>1</v>
      </c>
      <c r="R53">
        <f t="shared" si="8"/>
        <v>0.66250000000000009</v>
      </c>
    </row>
    <row r="54" spans="1:18">
      <c r="A54" t="s">
        <v>82</v>
      </c>
      <c r="B54" t="s">
        <v>19</v>
      </c>
      <c r="C54" t="str">
        <f t="shared" si="0"/>
        <v>Research &amp; Department</v>
      </c>
      <c r="D54" t="s">
        <v>27</v>
      </c>
      <c r="E54" t="str">
        <f t="shared" si="1"/>
        <v>Technova</v>
      </c>
      <c r="F54">
        <v>23</v>
      </c>
      <c r="G54">
        <v>12000</v>
      </c>
      <c r="H54" s="1">
        <v>39296</v>
      </c>
      <c r="I54">
        <v>3</v>
      </c>
      <c r="J54" t="s">
        <v>21</v>
      </c>
      <c r="K54">
        <f t="shared" si="2"/>
        <v>1</v>
      </c>
      <c r="L54">
        <f t="shared" si="3"/>
        <v>8.3333333333333331E-5</v>
      </c>
      <c r="M54" t="b">
        <f t="shared" si="4"/>
        <v>1</v>
      </c>
      <c r="N54" t="b">
        <f t="shared" si="5"/>
        <v>1</v>
      </c>
      <c r="O54" t="s">
        <v>22</v>
      </c>
      <c r="P54">
        <f t="shared" si="6"/>
        <v>0.74999999999999989</v>
      </c>
      <c r="Q54">
        <f t="shared" si="7"/>
        <v>0.5</v>
      </c>
      <c r="R54">
        <f t="shared" si="8"/>
        <v>0.64999999999999991</v>
      </c>
    </row>
    <row r="55" spans="1:18">
      <c r="A55" t="s">
        <v>83</v>
      </c>
      <c r="B55" t="s">
        <v>19</v>
      </c>
      <c r="C55" t="str">
        <f t="shared" si="0"/>
        <v>Research &amp; Department</v>
      </c>
      <c r="D55" t="s">
        <v>27</v>
      </c>
      <c r="E55" t="str">
        <f t="shared" si="1"/>
        <v>Technova</v>
      </c>
      <c r="F55">
        <v>12</v>
      </c>
      <c r="G55">
        <v>12000</v>
      </c>
      <c r="H55" s="1">
        <v>40313</v>
      </c>
      <c r="I55">
        <v>3</v>
      </c>
      <c r="J55" t="s">
        <v>21</v>
      </c>
      <c r="K55">
        <f t="shared" si="2"/>
        <v>1</v>
      </c>
      <c r="L55">
        <f t="shared" si="3"/>
        <v>8.3333333333333331E-5</v>
      </c>
      <c r="M55" t="b">
        <f t="shared" si="4"/>
        <v>0</v>
      </c>
      <c r="N55" t="b">
        <f t="shared" si="5"/>
        <v>1</v>
      </c>
      <c r="O55" t="s">
        <v>22</v>
      </c>
      <c r="P55">
        <f t="shared" si="6"/>
        <v>0.74999999999999989</v>
      </c>
      <c r="Q55">
        <f t="shared" si="7"/>
        <v>0.5</v>
      </c>
      <c r="R55">
        <f t="shared" si="8"/>
        <v>0.64999999999999991</v>
      </c>
    </row>
    <row r="56" spans="1:18">
      <c r="A56" t="s">
        <v>84</v>
      </c>
      <c r="B56" t="s">
        <v>70</v>
      </c>
      <c r="C56" t="str">
        <f t="shared" si="0"/>
        <v>Customer Experience</v>
      </c>
      <c r="D56" t="s">
        <v>27</v>
      </c>
      <c r="E56" t="str">
        <f t="shared" si="1"/>
        <v>Technova</v>
      </c>
      <c r="F56">
        <v>25</v>
      </c>
      <c r="G56">
        <v>33000</v>
      </c>
      <c r="H56" s="1">
        <v>39145</v>
      </c>
      <c r="I56">
        <v>5</v>
      </c>
      <c r="J56" t="s">
        <v>57</v>
      </c>
      <c r="K56">
        <f t="shared" si="2"/>
        <v>2</v>
      </c>
      <c r="L56">
        <f t="shared" si="3"/>
        <v>6.0606060606060605E-5</v>
      </c>
      <c r="M56" t="b">
        <f t="shared" si="4"/>
        <v>1</v>
      </c>
      <c r="N56" t="b">
        <f t="shared" si="5"/>
        <v>1</v>
      </c>
      <c r="O56" t="s">
        <v>22</v>
      </c>
      <c r="P56">
        <f t="shared" si="6"/>
        <v>0.40909090909090901</v>
      </c>
      <c r="Q56">
        <f t="shared" si="7"/>
        <v>1</v>
      </c>
      <c r="R56">
        <f t="shared" si="8"/>
        <v>0.64545454545454539</v>
      </c>
    </row>
    <row r="57" spans="1:18">
      <c r="A57" t="s">
        <v>85</v>
      </c>
      <c r="B57" t="s">
        <v>74</v>
      </c>
      <c r="C57" t="str">
        <f t="shared" si="0"/>
        <v>Human Resources</v>
      </c>
      <c r="D57" t="s">
        <v>27</v>
      </c>
      <c r="E57" t="str">
        <f t="shared" si="1"/>
        <v>Technova</v>
      </c>
      <c r="F57">
        <v>11</v>
      </c>
      <c r="G57">
        <v>33000</v>
      </c>
      <c r="H57" s="1">
        <v>41701</v>
      </c>
      <c r="I57">
        <v>5</v>
      </c>
      <c r="J57" t="s">
        <v>57</v>
      </c>
      <c r="K57">
        <f t="shared" si="2"/>
        <v>2</v>
      </c>
      <c r="L57">
        <f t="shared" si="3"/>
        <v>6.0606060606060605E-5</v>
      </c>
      <c r="M57" t="b">
        <f t="shared" si="4"/>
        <v>0</v>
      </c>
      <c r="N57" t="b">
        <f t="shared" si="5"/>
        <v>1</v>
      </c>
      <c r="O57" t="s">
        <v>22</v>
      </c>
      <c r="P57">
        <f t="shared" si="6"/>
        <v>0.40909090909090901</v>
      </c>
      <c r="Q57">
        <f t="shared" si="7"/>
        <v>1</v>
      </c>
      <c r="R57">
        <f t="shared" si="8"/>
        <v>0.64545454545454539</v>
      </c>
    </row>
    <row r="58" spans="1:18">
      <c r="A58" t="s">
        <v>86</v>
      </c>
      <c r="B58" t="s">
        <v>60</v>
      </c>
      <c r="C58" t="str">
        <f t="shared" si="0"/>
        <v>Manufacturing and operations</v>
      </c>
      <c r="D58" t="s">
        <v>27</v>
      </c>
      <c r="E58" t="str">
        <f t="shared" si="1"/>
        <v>Technova</v>
      </c>
      <c r="F58">
        <v>4</v>
      </c>
      <c r="G58">
        <v>33000</v>
      </c>
      <c r="H58" s="1">
        <v>41712</v>
      </c>
      <c r="I58">
        <v>5</v>
      </c>
      <c r="J58" t="s">
        <v>57</v>
      </c>
      <c r="K58">
        <f t="shared" si="2"/>
        <v>2</v>
      </c>
      <c r="L58">
        <f t="shared" si="3"/>
        <v>6.0606060606060605E-5</v>
      </c>
      <c r="M58" t="b">
        <f t="shared" si="4"/>
        <v>0</v>
      </c>
      <c r="N58" t="b">
        <f t="shared" si="5"/>
        <v>0</v>
      </c>
      <c r="O58" t="s">
        <v>22</v>
      </c>
      <c r="P58">
        <f t="shared" si="6"/>
        <v>0.40909090909090901</v>
      </c>
      <c r="Q58">
        <f t="shared" si="7"/>
        <v>1</v>
      </c>
      <c r="R58">
        <f t="shared" si="8"/>
        <v>0.64545454545454539</v>
      </c>
    </row>
    <row r="59" spans="1:18">
      <c r="A59" t="s">
        <v>87</v>
      </c>
      <c r="B59" t="s">
        <v>74</v>
      </c>
      <c r="C59" t="str">
        <f t="shared" si="0"/>
        <v>Human Resources</v>
      </c>
      <c r="D59" t="s">
        <v>27</v>
      </c>
      <c r="E59" t="str">
        <f t="shared" si="1"/>
        <v>Technova</v>
      </c>
      <c r="F59">
        <v>22</v>
      </c>
      <c r="G59">
        <v>34000</v>
      </c>
      <c r="H59" s="1">
        <v>39075</v>
      </c>
      <c r="I59">
        <v>5</v>
      </c>
      <c r="J59" t="s">
        <v>57</v>
      </c>
      <c r="K59">
        <f t="shared" si="2"/>
        <v>2</v>
      </c>
      <c r="L59">
        <f t="shared" si="3"/>
        <v>5.8823529411764708E-5</v>
      </c>
      <c r="M59" t="b">
        <f t="shared" si="4"/>
        <v>1</v>
      </c>
      <c r="N59" t="b">
        <f t="shared" si="5"/>
        <v>1</v>
      </c>
      <c r="O59" t="s">
        <v>22</v>
      </c>
      <c r="P59">
        <f t="shared" si="6"/>
        <v>0.38235294117647056</v>
      </c>
      <c r="Q59">
        <f t="shared" si="7"/>
        <v>1</v>
      </c>
      <c r="R59">
        <f t="shared" si="8"/>
        <v>0.62941176470588234</v>
      </c>
    </row>
    <row r="60" spans="1:18">
      <c r="A60" t="s">
        <v>88</v>
      </c>
      <c r="B60" t="s">
        <v>74</v>
      </c>
      <c r="C60" t="str">
        <f t="shared" si="0"/>
        <v>Human Resources</v>
      </c>
      <c r="D60" t="s">
        <v>20</v>
      </c>
      <c r="E60" t="str">
        <f t="shared" si="1"/>
        <v>Dataverse</v>
      </c>
      <c r="F60">
        <v>10</v>
      </c>
      <c r="G60">
        <v>34000</v>
      </c>
      <c r="H60" s="1">
        <v>41735</v>
      </c>
      <c r="I60">
        <v>5</v>
      </c>
      <c r="J60" t="s">
        <v>57</v>
      </c>
      <c r="K60">
        <f t="shared" si="2"/>
        <v>2</v>
      </c>
      <c r="L60">
        <f t="shared" si="3"/>
        <v>5.8823529411764708E-5</v>
      </c>
      <c r="M60" t="b">
        <f t="shared" si="4"/>
        <v>0</v>
      </c>
      <c r="N60" t="b">
        <f t="shared" si="5"/>
        <v>1</v>
      </c>
      <c r="O60" t="s">
        <v>22</v>
      </c>
      <c r="P60">
        <f t="shared" si="6"/>
        <v>0.38235294117647056</v>
      </c>
      <c r="Q60">
        <f t="shared" si="7"/>
        <v>1</v>
      </c>
      <c r="R60">
        <f t="shared" si="8"/>
        <v>0.62941176470588234</v>
      </c>
    </row>
    <row r="61" spans="1:18">
      <c r="A61" t="s">
        <v>89</v>
      </c>
      <c r="B61" t="s">
        <v>56</v>
      </c>
      <c r="C61" t="str">
        <f t="shared" si="0"/>
        <v>IT &amp; Systems</v>
      </c>
      <c r="D61" t="s">
        <v>20</v>
      </c>
      <c r="E61" t="str">
        <f t="shared" si="1"/>
        <v>Dataverse</v>
      </c>
      <c r="F61">
        <v>12</v>
      </c>
      <c r="G61">
        <v>34000</v>
      </c>
      <c r="H61" s="1">
        <v>45378</v>
      </c>
      <c r="I61">
        <v>5</v>
      </c>
      <c r="J61" t="s">
        <v>57</v>
      </c>
      <c r="K61">
        <f t="shared" si="2"/>
        <v>2</v>
      </c>
      <c r="L61">
        <f t="shared" si="3"/>
        <v>5.8823529411764708E-5</v>
      </c>
      <c r="M61" t="b">
        <f t="shared" si="4"/>
        <v>0</v>
      </c>
      <c r="N61" t="b">
        <f t="shared" si="5"/>
        <v>1</v>
      </c>
      <c r="O61" t="s">
        <v>22</v>
      </c>
      <c r="P61">
        <f t="shared" si="6"/>
        <v>0.38235294117647056</v>
      </c>
      <c r="Q61">
        <f t="shared" si="7"/>
        <v>1</v>
      </c>
      <c r="R61">
        <f t="shared" si="8"/>
        <v>0.62941176470588234</v>
      </c>
    </row>
    <row r="62" spans="1:18">
      <c r="A62" t="s">
        <v>90</v>
      </c>
      <c r="B62" t="s">
        <v>56</v>
      </c>
      <c r="C62" t="str">
        <f t="shared" si="0"/>
        <v>IT &amp; Systems</v>
      </c>
      <c r="D62" t="s">
        <v>27</v>
      </c>
      <c r="E62" t="str">
        <f t="shared" si="1"/>
        <v>Technova</v>
      </c>
      <c r="F62">
        <v>3</v>
      </c>
      <c r="G62">
        <v>34000</v>
      </c>
      <c r="H62" s="1">
        <v>42889</v>
      </c>
      <c r="I62">
        <v>5</v>
      </c>
      <c r="J62" t="s">
        <v>57</v>
      </c>
      <c r="K62">
        <f t="shared" si="2"/>
        <v>2</v>
      </c>
      <c r="L62">
        <f t="shared" si="3"/>
        <v>5.8823529411764708E-5</v>
      </c>
      <c r="M62" t="b">
        <f t="shared" si="4"/>
        <v>0</v>
      </c>
      <c r="N62" t="b">
        <f t="shared" si="5"/>
        <v>0</v>
      </c>
      <c r="O62" t="s">
        <v>22</v>
      </c>
      <c r="P62">
        <f t="shared" si="6"/>
        <v>0.38235294117647056</v>
      </c>
      <c r="Q62">
        <f t="shared" si="7"/>
        <v>1</v>
      </c>
      <c r="R62">
        <f t="shared" si="8"/>
        <v>0.62941176470588234</v>
      </c>
    </row>
    <row r="63" spans="1:18">
      <c r="A63" t="s">
        <v>91</v>
      </c>
      <c r="B63" t="s">
        <v>56</v>
      </c>
      <c r="C63" t="str">
        <f t="shared" si="0"/>
        <v>IT &amp; Systems</v>
      </c>
      <c r="D63" t="s">
        <v>20</v>
      </c>
      <c r="E63" t="str">
        <f t="shared" si="1"/>
        <v>Dataverse</v>
      </c>
      <c r="F63">
        <v>11</v>
      </c>
      <c r="G63">
        <v>34000</v>
      </c>
      <c r="H63" s="1">
        <v>42733</v>
      </c>
      <c r="I63">
        <v>5</v>
      </c>
      <c r="J63" t="s">
        <v>57</v>
      </c>
      <c r="K63">
        <f t="shared" si="2"/>
        <v>2</v>
      </c>
      <c r="L63">
        <f t="shared" si="3"/>
        <v>5.8823529411764708E-5</v>
      </c>
      <c r="M63" t="b">
        <f t="shared" si="4"/>
        <v>0</v>
      </c>
      <c r="N63" t="b">
        <f t="shared" si="5"/>
        <v>1</v>
      </c>
      <c r="O63" t="s">
        <v>22</v>
      </c>
      <c r="P63">
        <f t="shared" si="6"/>
        <v>0.38235294117647056</v>
      </c>
      <c r="Q63">
        <f t="shared" si="7"/>
        <v>1</v>
      </c>
      <c r="R63">
        <f t="shared" si="8"/>
        <v>0.62941176470588234</v>
      </c>
    </row>
    <row r="64" spans="1:18">
      <c r="A64" t="s">
        <v>92</v>
      </c>
      <c r="B64" t="s">
        <v>56</v>
      </c>
      <c r="C64" t="str">
        <f t="shared" si="0"/>
        <v>IT &amp; Systems</v>
      </c>
      <c r="D64" t="s">
        <v>27</v>
      </c>
      <c r="E64" t="str">
        <f t="shared" si="1"/>
        <v>Technova</v>
      </c>
      <c r="F64">
        <v>20</v>
      </c>
      <c r="G64">
        <v>34000</v>
      </c>
      <c r="H64" s="1">
        <v>44966</v>
      </c>
      <c r="I64">
        <v>5</v>
      </c>
      <c r="J64" t="s">
        <v>57</v>
      </c>
      <c r="K64">
        <f t="shared" si="2"/>
        <v>2</v>
      </c>
      <c r="L64">
        <f t="shared" si="3"/>
        <v>5.8823529411764708E-5</v>
      </c>
      <c r="M64" t="b">
        <f t="shared" si="4"/>
        <v>1</v>
      </c>
      <c r="N64" t="b">
        <f t="shared" si="5"/>
        <v>1</v>
      </c>
      <c r="O64" t="s">
        <v>22</v>
      </c>
      <c r="P64">
        <f t="shared" si="6"/>
        <v>0.38235294117647056</v>
      </c>
      <c r="Q64">
        <f t="shared" si="7"/>
        <v>1</v>
      </c>
      <c r="R64">
        <f t="shared" si="8"/>
        <v>0.62941176470588234</v>
      </c>
    </row>
    <row r="65" spans="1:18">
      <c r="A65" t="s">
        <v>93</v>
      </c>
      <c r="B65" t="s">
        <v>60</v>
      </c>
      <c r="C65" t="str">
        <f t="shared" si="0"/>
        <v>Manufacturing and operations</v>
      </c>
      <c r="D65" t="s">
        <v>20</v>
      </c>
      <c r="E65" t="str">
        <f t="shared" si="1"/>
        <v>Dataverse</v>
      </c>
      <c r="F65">
        <v>5</v>
      </c>
      <c r="G65">
        <v>34000</v>
      </c>
      <c r="H65" s="1">
        <v>41749</v>
      </c>
      <c r="I65">
        <v>5</v>
      </c>
      <c r="J65" t="s">
        <v>57</v>
      </c>
      <c r="K65">
        <f t="shared" si="2"/>
        <v>2</v>
      </c>
      <c r="L65">
        <f t="shared" si="3"/>
        <v>5.8823529411764708E-5</v>
      </c>
      <c r="M65" t="b">
        <f t="shared" si="4"/>
        <v>0</v>
      </c>
      <c r="N65" t="b">
        <f t="shared" si="5"/>
        <v>0</v>
      </c>
      <c r="O65" t="s">
        <v>22</v>
      </c>
      <c r="P65">
        <f t="shared" si="6"/>
        <v>0.38235294117647056</v>
      </c>
      <c r="Q65">
        <f t="shared" si="7"/>
        <v>1</v>
      </c>
      <c r="R65">
        <f t="shared" si="8"/>
        <v>0.62941176470588234</v>
      </c>
    </row>
    <row r="66" spans="1:18">
      <c r="A66" t="s">
        <v>94</v>
      </c>
      <c r="B66" t="s">
        <v>60</v>
      </c>
      <c r="C66" t="str">
        <f t="shared" ref="C66:C129" si="9">TRIM(B66)</f>
        <v>Manufacturing and operations</v>
      </c>
      <c r="D66" t="s">
        <v>20</v>
      </c>
      <c r="E66" t="str">
        <f t="shared" ref="E66:E129" si="10">TRIM(D66)</f>
        <v>Dataverse</v>
      </c>
      <c r="F66">
        <v>2</v>
      </c>
      <c r="G66">
        <v>34000</v>
      </c>
      <c r="H66" s="1">
        <v>44899</v>
      </c>
      <c r="I66">
        <v>5</v>
      </c>
      <c r="J66" t="s">
        <v>57</v>
      </c>
      <c r="K66">
        <f t="shared" ref="K66:K129" si="11">IF(J66="A", 3, IF(J66="B", 2, 1))</f>
        <v>2</v>
      </c>
      <c r="L66">
        <f t="shared" ref="L66:L129" si="12">K66/G66</f>
        <v>5.8823529411764708E-5</v>
      </c>
      <c r="M66" t="b">
        <f t="shared" ref="M66:M129" si="13">IF(F66&gt;15, TRUE, FALSE)</f>
        <v>0</v>
      </c>
      <c r="N66" t="b">
        <f t="shared" ref="N66:N129" si="14">IF(F66&gt;5, TRUE, FALSE)</f>
        <v>0</v>
      </c>
      <c r="O66" t="s">
        <v>22</v>
      </c>
      <c r="P66">
        <f t="shared" ref="P66:P129" si="15">(L66-MIN(L:L))/(MAX(L:L)-MIN(L:L))</f>
        <v>0.38235294117647056</v>
      </c>
      <c r="Q66">
        <f t="shared" ref="Q66:Q129" si="16">(I66-1)/4</f>
        <v>1</v>
      </c>
      <c r="R66">
        <f t="shared" ref="R66:R129" si="17">(0.6*P66)+(0.4*Q66)</f>
        <v>0.62941176470588234</v>
      </c>
    </row>
    <row r="67" spans="1:18">
      <c r="A67" t="s">
        <v>95</v>
      </c>
      <c r="B67" t="s">
        <v>19</v>
      </c>
      <c r="C67" t="str">
        <f t="shared" si="9"/>
        <v>Research &amp; Department</v>
      </c>
      <c r="D67" t="s">
        <v>27</v>
      </c>
      <c r="E67" t="str">
        <f t="shared" si="10"/>
        <v>Technova</v>
      </c>
      <c r="F67">
        <v>3</v>
      </c>
      <c r="G67">
        <v>11000</v>
      </c>
      <c r="H67" s="1">
        <v>38818</v>
      </c>
      <c r="I67">
        <v>2</v>
      </c>
      <c r="J67" t="s">
        <v>21</v>
      </c>
      <c r="K67">
        <f t="shared" si="11"/>
        <v>1</v>
      </c>
      <c r="L67">
        <f t="shared" si="12"/>
        <v>9.0909090909090904E-5</v>
      </c>
      <c r="M67" t="b">
        <f t="shared" si="13"/>
        <v>0</v>
      </c>
      <c r="N67" t="b">
        <f t="shared" si="14"/>
        <v>0</v>
      </c>
      <c r="O67" t="s">
        <v>22</v>
      </c>
      <c r="P67">
        <f t="shared" si="15"/>
        <v>0.86363636363636354</v>
      </c>
      <c r="Q67">
        <f t="shared" si="16"/>
        <v>0.25</v>
      </c>
      <c r="R67">
        <f t="shared" si="17"/>
        <v>0.61818181818181805</v>
      </c>
    </row>
    <row r="68" spans="1:18">
      <c r="A68" t="s">
        <v>96</v>
      </c>
      <c r="B68" t="s">
        <v>25</v>
      </c>
      <c r="C68" t="str">
        <f t="shared" si="9"/>
        <v>Sales &amp; Marketing</v>
      </c>
      <c r="D68" t="s">
        <v>27</v>
      </c>
      <c r="E68" t="str">
        <f t="shared" si="10"/>
        <v>Technova</v>
      </c>
      <c r="F68">
        <v>16</v>
      </c>
      <c r="G68">
        <v>11000</v>
      </c>
      <c r="H68" s="1">
        <v>38585</v>
      </c>
      <c r="I68">
        <v>2</v>
      </c>
      <c r="J68" t="s">
        <v>21</v>
      </c>
      <c r="K68">
        <f t="shared" si="11"/>
        <v>1</v>
      </c>
      <c r="L68">
        <f t="shared" si="12"/>
        <v>9.0909090909090904E-5</v>
      </c>
      <c r="M68" t="b">
        <f t="shared" si="13"/>
        <v>1</v>
      </c>
      <c r="N68" t="b">
        <f t="shared" si="14"/>
        <v>1</v>
      </c>
      <c r="O68" t="s">
        <v>22</v>
      </c>
      <c r="P68">
        <f t="shared" si="15"/>
        <v>0.86363636363636354</v>
      </c>
      <c r="Q68">
        <f t="shared" si="16"/>
        <v>0.25</v>
      </c>
      <c r="R68">
        <f t="shared" si="17"/>
        <v>0.61818181818181805</v>
      </c>
    </row>
    <row r="69" spans="1:18">
      <c r="A69" t="s">
        <v>97</v>
      </c>
      <c r="B69" t="s">
        <v>25</v>
      </c>
      <c r="C69" t="str">
        <f t="shared" si="9"/>
        <v>Sales &amp; Marketing</v>
      </c>
      <c r="D69" t="s">
        <v>20</v>
      </c>
      <c r="E69" t="str">
        <f t="shared" si="10"/>
        <v>Dataverse</v>
      </c>
      <c r="F69">
        <v>4</v>
      </c>
      <c r="G69">
        <v>11000</v>
      </c>
      <c r="H69" s="1">
        <v>43802</v>
      </c>
      <c r="I69">
        <v>2</v>
      </c>
      <c r="J69" t="s">
        <v>21</v>
      </c>
      <c r="K69">
        <f t="shared" si="11"/>
        <v>1</v>
      </c>
      <c r="L69">
        <f t="shared" si="12"/>
        <v>9.0909090909090904E-5</v>
      </c>
      <c r="M69" t="b">
        <f t="shared" si="13"/>
        <v>0</v>
      </c>
      <c r="N69" t="b">
        <f t="shared" si="14"/>
        <v>0</v>
      </c>
      <c r="O69" t="s">
        <v>22</v>
      </c>
      <c r="P69">
        <f t="shared" si="15"/>
        <v>0.86363636363636354</v>
      </c>
      <c r="Q69">
        <f t="shared" si="16"/>
        <v>0.25</v>
      </c>
      <c r="R69">
        <f t="shared" si="17"/>
        <v>0.61818181818181805</v>
      </c>
    </row>
    <row r="70" spans="1:18">
      <c r="A70" t="s">
        <v>98</v>
      </c>
      <c r="B70" t="s">
        <v>25</v>
      </c>
      <c r="C70" t="str">
        <f t="shared" si="9"/>
        <v>Sales &amp; Marketing</v>
      </c>
      <c r="D70" t="s">
        <v>27</v>
      </c>
      <c r="E70" t="str">
        <f t="shared" si="10"/>
        <v>Technova</v>
      </c>
      <c r="F70">
        <v>16</v>
      </c>
      <c r="G70">
        <v>11000</v>
      </c>
      <c r="H70" s="1">
        <v>43016</v>
      </c>
      <c r="I70">
        <v>2</v>
      </c>
      <c r="J70" t="s">
        <v>21</v>
      </c>
      <c r="K70">
        <f t="shared" si="11"/>
        <v>1</v>
      </c>
      <c r="L70">
        <f t="shared" si="12"/>
        <v>9.0909090909090904E-5</v>
      </c>
      <c r="M70" t="b">
        <f t="shared" si="13"/>
        <v>1</v>
      </c>
      <c r="N70" t="b">
        <f t="shared" si="14"/>
        <v>1</v>
      </c>
      <c r="O70" t="s">
        <v>22</v>
      </c>
      <c r="P70">
        <f t="shared" si="15"/>
        <v>0.86363636363636354</v>
      </c>
      <c r="Q70">
        <f t="shared" si="16"/>
        <v>0.25</v>
      </c>
      <c r="R70">
        <f t="shared" si="17"/>
        <v>0.61818181818181805</v>
      </c>
    </row>
    <row r="71" spans="1:18">
      <c r="A71" t="s">
        <v>99</v>
      </c>
      <c r="B71" t="s">
        <v>25</v>
      </c>
      <c r="C71" t="str">
        <f t="shared" si="9"/>
        <v>Sales &amp; Marketing</v>
      </c>
      <c r="D71" t="s">
        <v>27</v>
      </c>
      <c r="E71" t="str">
        <f t="shared" si="10"/>
        <v>Technova</v>
      </c>
      <c r="F71">
        <v>22</v>
      </c>
      <c r="G71">
        <v>11000</v>
      </c>
      <c r="H71" s="1">
        <v>43886</v>
      </c>
      <c r="I71">
        <v>2</v>
      </c>
      <c r="J71" t="s">
        <v>21</v>
      </c>
      <c r="K71">
        <f t="shared" si="11"/>
        <v>1</v>
      </c>
      <c r="L71">
        <f t="shared" si="12"/>
        <v>9.0909090909090904E-5</v>
      </c>
      <c r="M71" t="b">
        <f t="shared" si="13"/>
        <v>1</v>
      </c>
      <c r="N71" t="b">
        <f t="shared" si="14"/>
        <v>1</v>
      </c>
      <c r="O71" t="s">
        <v>22</v>
      </c>
      <c r="P71">
        <f t="shared" si="15"/>
        <v>0.86363636363636354</v>
      </c>
      <c r="Q71">
        <f t="shared" si="16"/>
        <v>0.25</v>
      </c>
      <c r="R71">
        <f t="shared" si="17"/>
        <v>0.61818181818181805</v>
      </c>
    </row>
    <row r="72" spans="1:18">
      <c r="A72" t="s">
        <v>100</v>
      </c>
      <c r="B72" t="s">
        <v>25</v>
      </c>
      <c r="C72" t="str">
        <f t="shared" si="9"/>
        <v>Sales &amp; Marketing</v>
      </c>
      <c r="D72" t="s">
        <v>20</v>
      </c>
      <c r="E72" t="str">
        <f t="shared" si="10"/>
        <v>Dataverse</v>
      </c>
      <c r="F72">
        <v>25</v>
      </c>
      <c r="G72">
        <v>11000</v>
      </c>
      <c r="H72" s="1">
        <v>43231</v>
      </c>
      <c r="I72">
        <v>2</v>
      </c>
      <c r="J72" t="s">
        <v>21</v>
      </c>
      <c r="K72">
        <f t="shared" si="11"/>
        <v>1</v>
      </c>
      <c r="L72">
        <f t="shared" si="12"/>
        <v>9.0909090909090904E-5</v>
      </c>
      <c r="M72" t="b">
        <f t="shared" si="13"/>
        <v>1</v>
      </c>
      <c r="N72" t="b">
        <f t="shared" si="14"/>
        <v>1</v>
      </c>
      <c r="O72" t="s">
        <v>22</v>
      </c>
      <c r="P72">
        <f t="shared" si="15"/>
        <v>0.86363636363636354</v>
      </c>
      <c r="Q72">
        <f t="shared" si="16"/>
        <v>0.25</v>
      </c>
      <c r="R72">
        <f t="shared" si="17"/>
        <v>0.61818181818181805</v>
      </c>
    </row>
    <row r="73" spans="1:18">
      <c r="A73" t="s">
        <v>101</v>
      </c>
      <c r="B73" t="s">
        <v>102</v>
      </c>
      <c r="C73" t="str">
        <f t="shared" si="9"/>
        <v>Finance</v>
      </c>
      <c r="D73" t="s">
        <v>20</v>
      </c>
      <c r="E73" t="str">
        <f t="shared" si="10"/>
        <v>Dataverse</v>
      </c>
      <c r="F73">
        <v>2</v>
      </c>
      <c r="G73">
        <v>35000</v>
      </c>
      <c r="H73" s="1">
        <v>42663</v>
      </c>
      <c r="I73">
        <v>5</v>
      </c>
      <c r="J73" t="s">
        <v>57</v>
      </c>
      <c r="K73">
        <f t="shared" si="11"/>
        <v>2</v>
      </c>
      <c r="L73">
        <f t="shared" si="12"/>
        <v>5.7142857142857142E-5</v>
      </c>
      <c r="M73" t="b">
        <f t="shared" si="13"/>
        <v>0</v>
      </c>
      <c r="N73" t="b">
        <f t="shared" si="14"/>
        <v>0</v>
      </c>
      <c r="O73" t="s">
        <v>22</v>
      </c>
      <c r="P73">
        <f t="shared" si="15"/>
        <v>0.3571428571428571</v>
      </c>
      <c r="Q73">
        <f t="shared" si="16"/>
        <v>1</v>
      </c>
      <c r="R73">
        <f t="shared" si="17"/>
        <v>0.61428571428571432</v>
      </c>
    </row>
    <row r="74" spans="1:18">
      <c r="A74" t="s">
        <v>103</v>
      </c>
      <c r="B74" t="s">
        <v>74</v>
      </c>
      <c r="C74" t="str">
        <f t="shared" si="9"/>
        <v>Human Resources</v>
      </c>
      <c r="D74" t="s">
        <v>27</v>
      </c>
      <c r="E74" t="str">
        <f t="shared" si="10"/>
        <v>Technova</v>
      </c>
      <c r="F74">
        <v>21</v>
      </c>
      <c r="G74">
        <v>35000</v>
      </c>
      <c r="H74" s="1">
        <v>42857</v>
      </c>
      <c r="I74">
        <v>5</v>
      </c>
      <c r="J74" t="s">
        <v>57</v>
      </c>
      <c r="K74">
        <f t="shared" si="11"/>
        <v>2</v>
      </c>
      <c r="L74">
        <f t="shared" si="12"/>
        <v>5.7142857142857142E-5</v>
      </c>
      <c r="M74" t="b">
        <f t="shared" si="13"/>
        <v>1</v>
      </c>
      <c r="N74" t="b">
        <f t="shared" si="14"/>
        <v>1</v>
      </c>
      <c r="O74" t="s">
        <v>22</v>
      </c>
      <c r="P74">
        <f t="shared" si="15"/>
        <v>0.3571428571428571</v>
      </c>
      <c r="Q74">
        <f t="shared" si="16"/>
        <v>1</v>
      </c>
      <c r="R74">
        <f t="shared" si="17"/>
        <v>0.61428571428571432</v>
      </c>
    </row>
    <row r="75" spans="1:18">
      <c r="A75" t="s">
        <v>104</v>
      </c>
      <c r="B75" t="s">
        <v>56</v>
      </c>
      <c r="C75" t="str">
        <f t="shared" si="9"/>
        <v>IT &amp; Systems</v>
      </c>
      <c r="D75" t="s">
        <v>27</v>
      </c>
      <c r="E75" t="str">
        <f t="shared" si="10"/>
        <v>Technova</v>
      </c>
      <c r="F75">
        <v>25</v>
      </c>
      <c r="G75">
        <v>35000</v>
      </c>
      <c r="H75" s="1">
        <v>41238</v>
      </c>
      <c r="I75">
        <v>5</v>
      </c>
      <c r="J75" t="s">
        <v>57</v>
      </c>
      <c r="K75">
        <f t="shared" si="11"/>
        <v>2</v>
      </c>
      <c r="L75">
        <f t="shared" si="12"/>
        <v>5.7142857142857142E-5</v>
      </c>
      <c r="M75" t="b">
        <f t="shared" si="13"/>
        <v>1</v>
      </c>
      <c r="N75" t="b">
        <f t="shared" si="14"/>
        <v>1</v>
      </c>
      <c r="O75" t="s">
        <v>22</v>
      </c>
      <c r="P75">
        <f t="shared" si="15"/>
        <v>0.3571428571428571</v>
      </c>
      <c r="Q75">
        <f t="shared" si="16"/>
        <v>1</v>
      </c>
      <c r="R75">
        <f t="shared" si="17"/>
        <v>0.61428571428571432</v>
      </c>
    </row>
    <row r="76" spans="1:18">
      <c r="A76" t="s">
        <v>105</v>
      </c>
      <c r="B76" t="s">
        <v>60</v>
      </c>
      <c r="C76" t="str">
        <f t="shared" si="9"/>
        <v>Manufacturing and operations</v>
      </c>
      <c r="D76" t="s">
        <v>20</v>
      </c>
      <c r="E76" t="str">
        <f t="shared" si="10"/>
        <v>Dataverse</v>
      </c>
      <c r="F76">
        <v>20</v>
      </c>
      <c r="G76">
        <v>35000</v>
      </c>
      <c r="H76" s="1">
        <v>43827</v>
      </c>
      <c r="I76">
        <v>5</v>
      </c>
      <c r="J76" t="s">
        <v>57</v>
      </c>
      <c r="K76">
        <f t="shared" si="11"/>
        <v>2</v>
      </c>
      <c r="L76">
        <f t="shared" si="12"/>
        <v>5.7142857142857142E-5</v>
      </c>
      <c r="M76" t="b">
        <f t="shared" si="13"/>
        <v>1</v>
      </c>
      <c r="N76" t="b">
        <f t="shared" si="14"/>
        <v>1</v>
      </c>
      <c r="O76" t="s">
        <v>22</v>
      </c>
      <c r="P76">
        <f t="shared" si="15"/>
        <v>0.3571428571428571</v>
      </c>
      <c r="Q76">
        <f t="shared" si="16"/>
        <v>1</v>
      </c>
      <c r="R76">
        <f t="shared" si="17"/>
        <v>0.61428571428571432</v>
      </c>
    </row>
    <row r="77" spans="1:18">
      <c r="A77" t="s">
        <v>106</v>
      </c>
      <c r="B77" t="s">
        <v>19</v>
      </c>
      <c r="C77" t="str">
        <f t="shared" si="9"/>
        <v>Research &amp; Department</v>
      </c>
      <c r="D77" t="s">
        <v>27</v>
      </c>
      <c r="E77" t="str">
        <f t="shared" si="10"/>
        <v>Technova</v>
      </c>
      <c r="F77">
        <v>25</v>
      </c>
      <c r="G77">
        <v>15000</v>
      </c>
      <c r="H77" s="1">
        <v>43224</v>
      </c>
      <c r="I77">
        <v>4</v>
      </c>
      <c r="J77" t="s">
        <v>21</v>
      </c>
      <c r="K77">
        <f t="shared" si="11"/>
        <v>1</v>
      </c>
      <c r="L77">
        <f t="shared" si="12"/>
        <v>6.666666666666667E-5</v>
      </c>
      <c r="M77" t="b">
        <f t="shared" si="13"/>
        <v>1</v>
      </c>
      <c r="N77" t="b">
        <f t="shared" si="14"/>
        <v>1</v>
      </c>
      <c r="O77" t="s">
        <v>22</v>
      </c>
      <c r="P77">
        <f t="shared" si="15"/>
        <v>0.5</v>
      </c>
      <c r="Q77">
        <f t="shared" si="16"/>
        <v>0.75</v>
      </c>
      <c r="R77">
        <f t="shared" si="17"/>
        <v>0.60000000000000009</v>
      </c>
    </row>
    <row r="78" spans="1:18">
      <c r="A78" t="s">
        <v>107</v>
      </c>
      <c r="B78" t="s">
        <v>25</v>
      </c>
      <c r="C78" t="str">
        <f t="shared" si="9"/>
        <v>Sales &amp; Marketing</v>
      </c>
      <c r="D78" t="s">
        <v>27</v>
      </c>
      <c r="E78" t="str">
        <f t="shared" si="10"/>
        <v>Technova</v>
      </c>
      <c r="F78">
        <v>4</v>
      </c>
      <c r="G78">
        <v>15000</v>
      </c>
      <c r="H78" s="1">
        <v>39844</v>
      </c>
      <c r="I78">
        <v>4</v>
      </c>
      <c r="J78" t="s">
        <v>21</v>
      </c>
      <c r="K78">
        <f t="shared" si="11"/>
        <v>1</v>
      </c>
      <c r="L78">
        <f t="shared" si="12"/>
        <v>6.666666666666667E-5</v>
      </c>
      <c r="M78" t="b">
        <f t="shared" si="13"/>
        <v>0</v>
      </c>
      <c r="N78" t="b">
        <f t="shared" si="14"/>
        <v>0</v>
      </c>
      <c r="O78" t="s">
        <v>22</v>
      </c>
      <c r="P78">
        <f t="shared" si="15"/>
        <v>0.5</v>
      </c>
      <c r="Q78">
        <f t="shared" si="16"/>
        <v>0.75</v>
      </c>
      <c r="R78">
        <f t="shared" si="17"/>
        <v>0.60000000000000009</v>
      </c>
    </row>
    <row r="79" spans="1:18">
      <c r="A79" t="s">
        <v>108</v>
      </c>
      <c r="B79" t="s">
        <v>25</v>
      </c>
      <c r="C79" t="str">
        <f t="shared" si="9"/>
        <v>Sales &amp; Marketing</v>
      </c>
      <c r="D79" t="s">
        <v>27</v>
      </c>
      <c r="E79" t="str">
        <f t="shared" si="10"/>
        <v>Technova</v>
      </c>
      <c r="F79">
        <v>25</v>
      </c>
      <c r="G79">
        <v>15000</v>
      </c>
      <c r="H79" s="1">
        <v>39005</v>
      </c>
      <c r="I79">
        <v>4</v>
      </c>
      <c r="J79" t="s">
        <v>21</v>
      </c>
      <c r="K79">
        <f t="shared" si="11"/>
        <v>1</v>
      </c>
      <c r="L79">
        <f t="shared" si="12"/>
        <v>6.666666666666667E-5</v>
      </c>
      <c r="M79" t="b">
        <f t="shared" si="13"/>
        <v>1</v>
      </c>
      <c r="N79" t="b">
        <f t="shared" si="14"/>
        <v>1</v>
      </c>
      <c r="O79" t="s">
        <v>22</v>
      </c>
      <c r="P79">
        <f t="shared" si="15"/>
        <v>0.5</v>
      </c>
      <c r="Q79">
        <f t="shared" si="16"/>
        <v>0.75</v>
      </c>
      <c r="R79">
        <f t="shared" si="17"/>
        <v>0.60000000000000009</v>
      </c>
    </row>
    <row r="80" spans="1:18">
      <c r="A80" t="s">
        <v>109</v>
      </c>
      <c r="B80" t="s">
        <v>25</v>
      </c>
      <c r="C80" t="str">
        <f t="shared" si="9"/>
        <v>Sales &amp; Marketing</v>
      </c>
      <c r="D80" t="s">
        <v>20</v>
      </c>
      <c r="E80" t="str">
        <f t="shared" si="10"/>
        <v>Dataverse</v>
      </c>
      <c r="F80">
        <v>19</v>
      </c>
      <c r="G80">
        <v>15000</v>
      </c>
      <c r="H80" s="1">
        <v>43984</v>
      </c>
      <c r="I80">
        <v>4</v>
      </c>
      <c r="J80" t="s">
        <v>21</v>
      </c>
      <c r="K80">
        <f t="shared" si="11"/>
        <v>1</v>
      </c>
      <c r="L80">
        <f t="shared" si="12"/>
        <v>6.666666666666667E-5</v>
      </c>
      <c r="M80" t="b">
        <f t="shared" si="13"/>
        <v>1</v>
      </c>
      <c r="N80" t="b">
        <f t="shared" si="14"/>
        <v>1</v>
      </c>
      <c r="O80" t="s">
        <v>22</v>
      </c>
      <c r="P80">
        <f t="shared" si="15"/>
        <v>0.5</v>
      </c>
      <c r="Q80">
        <f t="shared" si="16"/>
        <v>0.75</v>
      </c>
      <c r="R80">
        <f t="shared" si="17"/>
        <v>0.60000000000000009</v>
      </c>
    </row>
    <row r="81" spans="1:18">
      <c r="A81" t="s">
        <v>110</v>
      </c>
      <c r="B81" t="s">
        <v>70</v>
      </c>
      <c r="C81" t="str">
        <f t="shared" si="9"/>
        <v>Customer Experience</v>
      </c>
      <c r="D81" t="s">
        <v>27</v>
      </c>
      <c r="E81" t="str">
        <f t="shared" si="10"/>
        <v>Technova</v>
      </c>
      <c r="F81">
        <v>22</v>
      </c>
      <c r="G81">
        <v>36000</v>
      </c>
      <c r="H81" s="1">
        <v>40184</v>
      </c>
      <c r="I81">
        <v>5</v>
      </c>
      <c r="J81" t="s">
        <v>57</v>
      </c>
      <c r="K81">
        <f t="shared" si="11"/>
        <v>2</v>
      </c>
      <c r="L81">
        <f t="shared" si="12"/>
        <v>5.5555555555555558E-5</v>
      </c>
      <c r="M81" t="b">
        <f t="shared" si="13"/>
        <v>1</v>
      </c>
      <c r="N81" t="b">
        <f t="shared" si="14"/>
        <v>1</v>
      </c>
      <c r="O81" t="s">
        <v>22</v>
      </c>
      <c r="P81">
        <f t="shared" si="15"/>
        <v>0.33333333333333331</v>
      </c>
      <c r="Q81">
        <f t="shared" si="16"/>
        <v>1</v>
      </c>
      <c r="R81">
        <f t="shared" si="17"/>
        <v>0.6</v>
      </c>
    </row>
    <row r="82" spans="1:18">
      <c r="A82" t="s">
        <v>111</v>
      </c>
      <c r="B82" t="s">
        <v>102</v>
      </c>
      <c r="C82" t="str">
        <f t="shared" si="9"/>
        <v>Finance</v>
      </c>
      <c r="D82" t="s">
        <v>27</v>
      </c>
      <c r="E82" t="str">
        <f t="shared" si="10"/>
        <v>Technova</v>
      </c>
      <c r="F82">
        <v>23</v>
      </c>
      <c r="G82">
        <v>36000</v>
      </c>
      <c r="H82" s="1">
        <v>41410</v>
      </c>
      <c r="I82">
        <v>5</v>
      </c>
      <c r="J82" t="s">
        <v>57</v>
      </c>
      <c r="K82">
        <f t="shared" si="11"/>
        <v>2</v>
      </c>
      <c r="L82">
        <f t="shared" si="12"/>
        <v>5.5555555555555558E-5</v>
      </c>
      <c r="M82" t="b">
        <f t="shared" si="13"/>
        <v>1</v>
      </c>
      <c r="N82" t="b">
        <f t="shared" si="14"/>
        <v>1</v>
      </c>
      <c r="O82" t="s">
        <v>22</v>
      </c>
      <c r="P82">
        <f t="shared" si="15"/>
        <v>0.33333333333333331</v>
      </c>
      <c r="Q82">
        <f t="shared" si="16"/>
        <v>1</v>
      </c>
      <c r="R82">
        <f t="shared" si="17"/>
        <v>0.6</v>
      </c>
    </row>
    <row r="83" spans="1:18">
      <c r="A83" t="s">
        <v>112</v>
      </c>
      <c r="B83" t="s">
        <v>102</v>
      </c>
      <c r="C83" t="str">
        <f t="shared" si="9"/>
        <v>Finance</v>
      </c>
      <c r="D83" t="s">
        <v>27</v>
      </c>
      <c r="E83" t="str">
        <f t="shared" si="10"/>
        <v>Technova</v>
      </c>
      <c r="F83">
        <v>3</v>
      </c>
      <c r="G83">
        <v>36000</v>
      </c>
      <c r="H83" s="1">
        <v>42250</v>
      </c>
      <c r="I83">
        <v>5</v>
      </c>
      <c r="J83" t="s">
        <v>57</v>
      </c>
      <c r="K83">
        <f t="shared" si="11"/>
        <v>2</v>
      </c>
      <c r="L83">
        <f t="shared" si="12"/>
        <v>5.5555555555555558E-5</v>
      </c>
      <c r="M83" t="b">
        <f t="shared" si="13"/>
        <v>0</v>
      </c>
      <c r="N83" t="b">
        <f t="shared" si="14"/>
        <v>0</v>
      </c>
      <c r="O83" t="s">
        <v>22</v>
      </c>
      <c r="P83">
        <f t="shared" si="15"/>
        <v>0.33333333333333331</v>
      </c>
      <c r="Q83">
        <f t="shared" si="16"/>
        <v>1</v>
      </c>
      <c r="R83">
        <f t="shared" si="17"/>
        <v>0.6</v>
      </c>
    </row>
    <row r="84" spans="1:18">
      <c r="A84" t="s">
        <v>113</v>
      </c>
      <c r="B84" t="s">
        <v>19</v>
      </c>
      <c r="C84" t="str">
        <f t="shared" si="9"/>
        <v>Research &amp; Department</v>
      </c>
      <c r="D84" t="s">
        <v>27</v>
      </c>
      <c r="E84" t="str">
        <f t="shared" si="10"/>
        <v>Technova</v>
      </c>
      <c r="F84">
        <v>10</v>
      </c>
      <c r="G84">
        <v>18000</v>
      </c>
      <c r="H84" s="1">
        <v>40262</v>
      </c>
      <c r="I84">
        <v>5</v>
      </c>
      <c r="J84" t="s">
        <v>21</v>
      </c>
      <c r="K84">
        <f t="shared" si="11"/>
        <v>1</v>
      </c>
      <c r="L84">
        <f t="shared" si="12"/>
        <v>5.5555555555555558E-5</v>
      </c>
      <c r="M84" t="b">
        <f t="shared" si="13"/>
        <v>0</v>
      </c>
      <c r="N84" t="b">
        <f t="shared" si="14"/>
        <v>1</v>
      </c>
      <c r="O84" t="s">
        <v>22</v>
      </c>
      <c r="P84">
        <f t="shared" si="15"/>
        <v>0.33333333333333331</v>
      </c>
      <c r="Q84">
        <f t="shared" si="16"/>
        <v>1</v>
      </c>
      <c r="R84">
        <f t="shared" si="17"/>
        <v>0.6</v>
      </c>
    </row>
    <row r="85" spans="1:18">
      <c r="A85" t="s">
        <v>114</v>
      </c>
      <c r="B85" t="s">
        <v>74</v>
      </c>
      <c r="C85" t="str">
        <f t="shared" si="9"/>
        <v>Human Resources</v>
      </c>
      <c r="D85" t="s">
        <v>27</v>
      </c>
      <c r="E85" t="str">
        <f t="shared" si="10"/>
        <v>Technova</v>
      </c>
      <c r="F85">
        <v>20</v>
      </c>
      <c r="G85">
        <v>36000</v>
      </c>
      <c r="H85" s="1">
        <v>42252</v>
      </c>
      <c r="I85">
        <v>5</v>
      </c>
      <c r="J85" t="s">
        <v>57</v>
      </c>
      <c r="K85">
        <f t="shared" si="11"/>
        <v>2</v>
      </c>
      <c r="L85">
        <f t="shared" si="12"/>
        <v>5.5555555555555558E-5</v>
      </c>
      <c r="M85" t="b">
        <f t="shared" si="13"/>
        <v>1</v>
      </c>
      <c r="N85" t="b">
        <f t="shared" si="14"/>
        <v>1</v>
      </c>
      <c r="O85" t="s">
        <v>22</v>
      </c>
      <c r="P85">
        <f t="shared" si="15"/>
        <v>0.33333333333333331</v>
      </c>
      <c r="Q85">
        <f t="shared" si="16"/>
        <v>1</v>
      </c>
      <c r="R85">
        <f t="shared" si="17"/>
        <v>0.6</v>
      </c>
    </row>
    <row r="86" spans="1:18">
      <c r="A86" t="s">
        <v>115</v>
      </c>
      <c r="B86" t="s">
        <v>56</v>
      </c>
      <c r="C86" t="str">
        <f t="shared" si="9"/>
        <v>IT &amp; Systems</v>
      </c>
      <c r="D86" t="s">
        <v>27</v>
      </c>
      <c r="E86" t="str">
        <f t="shared" si="10"/>
        <v>Technova</v>
      </c>
      <c r="F86">
        <v>3</v>
      </c>
      <c r="G86">
        <v>36000</v>
      </c>
      <c r="H86" s="1">
        <v>41070</v>
      </c>
      <c r="I86">
        <v>5</v>
      </c>
      <c r="J86" t="s">
        <v>57</v>
      </c>
      <c r="K86">
        <f t="shared" si="11"/>
        <v>2</v>
      </c>
      <c r="L86">
        <f t="shared" si="12"/>
        <v>5.5555555555555558E-5</v>
      </c>
      <c r="M86" t="b">
        <f t="shared" si="13"/>
        <v>0</v>
      </c>
      <c r="N86" t="b">
        <f t="shared" si="14"/>
        <v>0</v>
      </c>
      <c r="O86" t="s">
        <v>22</v>
      </c>
      <c r="P86">
        <f t="shared" si="15"/>
        <v>0.33333333333333331</v>
      </c>
      <c r="Q86">
        <f t="shared" si="16"/>
        <v>1</v>
      </c>
      <c r="R86">
        <f t="shared" si="17"/>
        <v>0.6</v>
      </c>
    </row>
    <row r="87" spans="1:18">
      <c r="A87" t="s">
        <v>116</v>
      </c>
      <c r="B87" t="s">
        <v>19</v>
      </c>
      <c r="C87" t="str">
        <f t="shared" si="9"/>
        <v>Research &amp; Department</v>
      </c>
      <c r="D87" t="s">
        <v>20</v>
      </c>
      <c r="E87" t="str">
        <f t="shared" si="10"/>
        <v>Dataverse</v>
      </c>
      <c r="F87">
        <v>13</v>
      </c>
      <c r="G87">
        <v>10000</v>
      </c>
      <c r="H87" s="1">
        <v>41427</v>
      </c>
      <c r="I87">
        <v>1</v>
      </c>
      <c r="J87" t="s">
        <v>21</v>
      </c>
      <c r="K87">
        <f t="shared" si="11"/>
        <v>1</v>
      </c>
      <c r="L87">
        <f t="shared" si="12"/>
        <v>1E-4</v>
      </c>
      <c r="M87" t="b">
        <f t="shared" si="13"/>
        <v>0</v>
      </c>
      <c r="N87" t="b">
        <f t="shared" si="14"/>
        <v>1</v>
      </c>
      <c r="O87" t="s">
        <v>22</v>
      </c>
      <c r="P87">
        <f t="shared" si="15"/>
        <v>1</v>
      </c>
      <c r="Q87">
        <f t="shared" si="16"/>
        <v>0</v>
      </c>
      <c r="R87">
        <f t="shared" si="17"/>
        <v>0.6</v>
      </c>
    </row>
    <row r="88" spans="1:18">
      <c r="A88" t="s">
        <v>117</v>
      </c>
      <c r="B88" t="s">
        <v>25</v>
      </c>
      <c r="C88" t="str">
        <f t="shared" si="9"/>
        <v>Sales &amp; Marketing</v>
      </c>
      <c r="D88" t="s">
        <v>27</v>
      </c>
      <c r="E88" t="str">
        <f t="shared" si="10"/>
        <v>Technova</v>
      </c>
      <c r="F88">
        <v>14</v>
      </c>
      <c r="G88">
        <v>18000</v>
      </c>
      <c r="H88" s="1">
        <v>38697</v>
      </c>
      <c r="I88">
        <v>5</v>
      </c>
      <c r="J88" t="s">
        <v>21</v>
      </c>
      <c r="K88">
        <f t="shared" si="11"/>
        <v>1</v>
      </c>
      <c r="L88">
        <f t="shared" si="12"/>
        <v>5.5555555555555558E-5</v>
      </c>
      <c r="M88" t="b">
        <f t="shared" si="13"/>
        <v>0</v>
      </c>
      <c r="N88" t="b">
        <f t="shared" si="14"/>
        <v>1</v>
      </c>
      <c r="O88" t="s">
        <v>22</v>
      </c>
      <c r="P88">
        <f t="shared" si="15"/>
        <v>0.33333333333333331</v>
      </c>
      <c r="Q88">
        <f t="shared" si="16"/>
        <v>1</v>
      </c>
      <c r="R88">
        <f t="shared" si="17"/>
        <v>0.6</v>
      </c>
    </row>
    <row r="89" spans="1:18">
      <c r="A89" t="s">
        <v>118</v>
      </c>
      <c r="B89" t="s">
        <v>25</v>
      </c>
      <c r="C89" t="str">
        <f t="shared" si="9"/>
        <v>Sales &amp; Marketing</v>
      </c>
      <c r="D89" t="s">
        <v>20</v>
      </c>
      <c r="E89" t="str">
        <f t="shared" si="10"/>
        <v>Dataverse</v>
      </c>
      <c r="F89">
        <v>12</v>
      </c>
      <c r="G89">
        <v>18000</v>
      </c>
      <c r="H89" s="1">
        <v>44149</v>
      </c>
      <c r="I89">
        <v>5</v>
      </c>
      <c r="J89" t="s">
        <v>21</v>
      </c>
      <c r="K89">
        <f t="shared" si="11"/>
        <v>1</v>
      </c>
      <c r="L89">
        <f t="shared" si="12"/>
        <v>5.5555555555555558E-5</v>
      </c>
      <c r="M89" t="b">
        <f t="shared" si="13"/>
        <v>0</v>
      </c>
      <c r="N89" t="b">
        <f t="shared" si="14"/>
        <v>1</v>
      </c>
      <c r="O89" t="s">
        <v>22</v>
      </c>
      <c r="P89">
        <f t="shared" si="15"/>
        <v>0.33333333333333331</v>
      </c>
      <c r="Q89">
        <f t="shared" si="16"/>
        <v>1</v>
      </c>
      <c r="R89">
        <f t="shared" si="17"/>
        <v>0.6</v>
      </c>
    </row>
    <row r="90" spans="1:18">
      <c r="A90" t="s">
        <v>119</v>
      </c>
      <c r="B90" t="s">
        <v>19</v>
      </c>
      <c r="C90" t="str">
        <f t="shared" si="9"/>
        <v>Research &amp; Department</v>
      </c>
      <c r="D90" t="s">
        <v>20</v>
      </c>
      <c r="E90" t="str">
        <f t="shared" si="10"/>
        <v>Dataverse</v>
      </c>
      <c r="F90">
        <v>1</v>
      </c>
      <c r="G90">
        <v>13000</v>
      </c>
      <c r="H90" s="1">
        <v>40642</v>
      </c>
      <c r="I90">
        <v>3</v>
      </c>
      <c r="J90" t="s">
        <v>21</v>
      </c>
      <c r="K90">
        <f t="shared" si="11"/>
        <v>1</v>
      </c>
      <c r="L90">
        <f t="shared" si="12"/>
        <v>7.6923076923076926E-5</v>
      </c>
      <c r="M90" t="b">
        <f t="shared" si="13"/>
        <v>0</v>
      </c>
      <c r="N90" t="b">
        <f t="shared" si="14"/>
        <v>0</v>
      </c>
      <c r="O90" t="s">
        <v>22</v>
      </c>
      <c r="P90">
        <f t="shared" si="15"/>
        <v>0.65384615384615385</v>
      </c>
      <c r="Q90">
        <f t="shared" si="16"/>
        <v>0.5</v>
      </c>
      <c r="R90">
        <f t="shared" si="17"/>
        <v>0.59230769230769231</v>
      </c>
    </row>
    <row r="91" spans="1:18">
      <c r="A91" t="s">
        <v>120</v>
      </c>
      <c r="B91" t="s">
        <v>19</v>
      </c>
      <c r="C91" t="str">
        <f t="shared" si="9"/>
        <v>Research &amp; Department</v>
      </c>
      <c r="D91" t="s">
        <v>20</v>
      </c>
      <c r="E91" t="str">
        <f t="shared" si="10"/>
        <v>Dataverse</v>
      </c>
      <c r="F91">
        <v>15</v>
      </c>
      <c r="G91">
        <v>13000</v>
      </c>
      <c r="H91" s="1">
        <v>43963</v>
      </c>
      <c r="I91">
        <v>3</v>
      </c>
      <c r="J91" t="s">
        <v>21</v>
      </c>
      <c r="K91">
        <f t="shared" si="11"/>
        <v>1</v>
      </c>
      <c r="L91">
        <f t="shared" si="12"/>
        <v>7.6923076923076926E-5</v>
      </c>
      <c r="M91" t="b">
        <f t="shared" si="13"/>
        <v>0</v>
      </c>
      <c r="N91" t="b">
        <f t="shared" si="14"/>
        <v>1</v>
      </c>
      <c r="O91" t="s">
        <v>22</v>
      </c>
      <c r="P91">
        <f t="shared" si="15"/>
        <v>0.65384615384615385</v>
      </c>
      <c r="Q91">
        <f t="shared" si="16"/>
        <v>0.5</v>
      </c>
      <c r="R91">
        <f t="shared" si="17"/>
        <v>0.59230769230769231</v>
      </c>
    </row>
    <row r="92" spans="1:18">
      <c r="A92" t="s">
        <v>121</v>
      </c>
      <c r="B92" t="s">
        <v>25</v>
      </c>
      <c r="C92" t="str">
        <f t="shared" si="9"/>
        <v>Sales &amp; Marketing</v>
      </c>
      <c r="D92" t="s">
        <v>27</v>
      </c>
      <c r="E92" t="str">
        <f t="shared" si="10"/>
        <v>Technova</v>
      </c>
      <c r="F92">
        <v>2</v>
      </c>
      <c r="G92">
        <v>13000</v>
      </c>
      <c r="H92" s="1">
        <v>40501</v>
      </c>
      <c r="I92">
        <v>3</v>
      </c>
      <c r="J92" t="s">
        <v>21</v>
      </c>
      <c r="K92">
        <f t="shared" si="11"/>
        <v>1</v>
      </c>
      <c r="L92">
        <f t="shared" si="12"/>
        <v>7.6923076923076926E-5</v>
      </c>
      <c r="M92" t="b">
        <f t="shared" si="13"/>
        <v>0</v>
      </c>
      <c r="N92" t="b">
        <f t="shared" si="14"/>
        <v>0</v>
      </c>
      <c r="O92" t="s">
        <v>22</v>
      </c>
      <c r="P92">
        <f t="shared" si="15"/>
        <v>0.65384615384615385</v>
      </c>
      <c r="Q92">
        <f t="shared" si="16"/>
        <v>0.5</v>
      </c>
      <c r="R92">
        <f t="shared" si="17"/>
        <v>0.59230769230769231</v>
      </c>
    </row>
    <row r="93" spans="1:18">
      <c r="A93" t="s">
        <v>122</v>
      </c>
      <c r="B93" t="s">
        <v>74</v>
      </c>
      <c r="C93" t="str">
        <f t="shared" si="9"/>
        <v>Human Resources</v>
      </c>
      <c r="D93" t="s">
        <v>27</v>
      </c>
      <c r="E93" t="str">
        <f t="shared" si="10"/>
        <v>Technova</v>
      </c>
      <c r="F93">
        <v>15</v>
      </c>
      <c r="G93">
        <v>37000</v>
      </c>
      <c r="H93" s="1">
        <v>40855</v>
      </c>
      <c r="I93">
        <v>5</v>
      </c>
      <c r="J93" t="s">
        <v>57</v>
      </c>
      <c r="K93">
        <f t="shared" si="11"/>
        <v>2</v>
      </c>
      <c r="L93">
        <f t="shared" si="12"/>
        <v>5.4054054054054054E-5</v>
      </c>
      <c r="M93" t="b">
        <f t="shared" si="13"/>
        <v>0</v>
      </c>
      <c r="N93" t="b">
        <f t="shared" si="14"/>
        <v>1</v>
      </c>
      <c r="O93" t="s">
        <v>22</v>
      </c>
      <c r="P93">
        <f t="shared" si="15"/>
        <v>0.31081081081081074</v>
      </c>
      <c r="Q93">
        <f t="shared" si="16"/>
        <v>1</v>
      </c>
      <c r="R93">
        <f t="shared" si="17"/>
        <v>0.58648648648648649</v>
      </c>
    </row>
    <row r="94" spans="1:18">
      <c r="A94" t="s">
        <v>123</v>
      </c>
      <c r="B94" t="s">
        <v>74</v>
      </c>
      <c r="C94" t="str">
        <f t="shared" si="9"/>
        <v>Human Resources</v>
      </c>
      <c r="D94" t="s">
        <v>27</v>
      </c>
      <c r="E94" t="str">
        <f t="shared" si="10"/>
        <v>Technova</v>
      </c>
      <c r="F94">
        <v>7</v>
      </c>
      <c r="G94">
        <v>37000</v>
      </c>
      <c r="H94" s="1">
        <v>44558</v>
      </c>
      <c r="I94">
        <v>5</v>
      </c>
      <c r="J94" t="s">
        <v>57</v>
      </c>
      <c r="K94">
        <f t="shared" si="11"/>
        <v>2</v>
      </c>
      <c r="L94">
        <f t="shared" si="12"/>
        <v>5.4054054054054054E-5</v>
      </c>
      <c r="M94" t="b">
        <f t="shared" si="13"/>
        <v>0</v>
      </c>
      <c r="N94" t="b">
        <f t="shared" si="14"/>
        <v>1</v>
      </c>
      <c r="O94" t="s">
        <v>22</v>
      </c>
      <c r="P94">
        <f t="shared" si="15"/>
        <v>0.31081081081081074</v>
      </c>
      <c r="Q94">
        <f t="shared" si="16"/>
        <v>1</v>
      </c>
      <c r="R94">
        <f t="shared" si="17"/>
        <v>0.58648648648648649</v>
      </c>
    </row>
    <row r="95" spans="1:18">
      <c r="A95" t="s">
        <v>124</v>
      </c>
      <c r="B95" t="s">
        <v>56</v>
      </c>
      <c r="C95" t="str">
        <f t="shared" si="9"/>
        <v>IT &amp; Systems</v>
      </c>
      <c r="D95" t="s">
        <v>27</v>
      </c>
      <c r="E95" t="str">
        <f t="shared" si="10"/>
        <v>Technova</v>
      </c>
      <c r="F95">
        <v>19</v>
      </c>
      <c r="G95">
        <v>37000</v>
      </c>
      <c r="H95" s="1">
        <v>40866</v>
      </c>
      <c r="I95">
        <v>5</v>
      </c>
      <c r="J95" t="s">
        <v>57</v>
      </c>
      <c r="K95">
        <f t="shared" si="11"/>
        <v>2</v>
      </c>
      <c r="L95">
        <f t="shared" si="12"/>
        <v>5.4054054054054054E-5</v>
      </c>
      <c r="M95" t="b">
        <f t="shared" si="13"/>
        <v>1</v>
      </c>
      <c r="N95" t="b">
        <f t="shared" si="14"/>
        <v>1</v>
      </c>
      <c r="O95" t="s">
        <v>22</v>
      </c>
      <c r="P95">
        <f t="shared" si="15"/>
        <v>0.31081081081081074</v>
      </c>
      <c r="Q95">
        <f t="shared" si="16"/>
        <v>1</v>
      </c>
      <c r="R95">
        <f t="shared" si="17"/>
        <v>0.58648648648648649</v>
      </c>
    </row>
    <row r="96" spans="1:18">
      <c r="A96" t="s">
        <v>125</v>
      </c>
      <c r="B96" t="s">
        <v>56</v>
      </c>
      <c r="C96" t="str">
        <f t="shared" si="9"/>
        <v>IT &amp; Systems</v>
      </c>
      <c r="D96" t="s">
        <v>27</v>
      </c>
      <c r="E96" t="str">
        <f t="shared" si="10"/>
        <v>Technova</v>
      </c>
      <c r="F96">
        <v>8</v>
      </c>
      <c r="G96">
        <v>37000</v>
      </c>
      <c r="H96" s="1">
        <v>45302</v>
      </c>
      <c r="I96">
        <v>5</v>
      </c>
      <c r="J96" t="s">
        <v>57</v>
      </c>
      <c r="K96">
        <f t="shared" si="11"/>
        <v>2</v>
      </c>
      <c r="L96">
        <f t="shared" si="12"/>
        <v>5.4054054054054054E-5</v>
      </c>
      <c r="M96" t="b">
        <f t="shared" si="13"/>
        <v>0</v>
      </c>
      <c r="N96" t="b">
        <f t="shared" si="14"/>
        <v>1</v>
      </c>
      <c r="O96" t="s">
        <v>22</v>
      </c>
      <c r="P96">
        <f t="shared" si="15"/>
        <v>0.31081081081081074</v>
      </c>
      <c r="Q96">
        <f t="shared" si="16"/>
        <v>1</v>
      </c>
      <c r="R96">
        <f t="shared" si="17"/>
        <v>0.58648648648648649</v>
      </c>
    </row>
    <row r="97" spans="1:18">
      <c r="A97" t="s">
        <v>126</v>
      </c>
      <c r="B97" t="s">
        <v>56</v>
      </c>
      <c r="C97" t="str">
        <f t="shared" si="9"/>
        <v>IT &amp; Systems</v>
      </c>
      <c r="D97" t="s">
        <v>20</v>
      </c>
      <c r="E97" t="str">
        <f t="shared" si="10"/>
        <v>Dataverse</v>
      </c>
      <c r="F97">
        <v>21</v>
      </c>
      <c r="G97">
        <v>37000</v>
      </c>
      <c r="H97" s="1">
        <v>41159</v>
      </c>
      <c r="I97">
        <v>5</v>
      </c>
      <c r="J97" t="s">
        <v>57</v>
      </c>
      <c r="K97">
        <f t="shared" si="11"/>
        <v>2</v>
      </c>
      <c r="L97">
        <f t="shared" si="12"/>
        <v>5.4054054054054054E-5</v>
      </c>
      <c r="M97" t="b">
        <f t="shared" si="13"/>
        <v>1</v>
      </c>
      <c r="N97" t="b">
        <f t="shared" si="14"/>
        <v>1</v>
      </c>
      <c r="O97" t="s">
        <v>22</v>
      </c>
      <c r="P97">
        <f t="shared" si="15"/>
        <v>0.31081081081081074</v>
      </c>
      <c r="Q97">
        <f t="shared" si="16"/>
        <v>1</v>
      </c>
      <c r="R97">
        <f t="shared" si="17"/>
        <v>0.58648648648648649</v>
      </c>
    </row>
    <row r="98" spans="1:18">
      <c r="A98" t="s">
        <v>127</v>
      </c>
      <c r="B98" t="s">
        <v>56</v>
      </c>
      <c r="C98" t="str">
        <f t="shared" si="9"/>
        <v>IT &amp; Systems</v>
      </c>
      <c r="D98" t="s">
        <v>27</v>
      </c>
      <c r="E98" t="str">
        <f t="shared" si="10"/>
        <v>Technova</v>
      </c>
      <c r="F98">
        <v>2</v>
      </c>
      <c r="G98">
        <v>37000</v>
      </c>
      <c r="H98" s="1">
        <v>42600</v>
      </c>
      <c r="I98">
        <v>5</v>
      </c>
      <c r="J98" t="s">
        <v>57</v>
      </c>
      <c r="K98">
        <f t="shared" si="11"/>
        <v>2</v>
      </c>
      <c r="L98">
        <f t="shared" si="12"/>
        <v>5.4054054054054054E-5</v>
      </c>
      <c r="M98" t="b">
        <f t="shared" si="13"/>
        <v>0</v>
      </c>
      <c r="N98" t="b">
        <f t="shared" si="14"/>
        <v>0</v>
      </c>
      <c r="O98" t="s">
        <v>22</v>
      </c>
      <c r="P98">
        <f t="shared" si="15"/>
        <v>0.31081081081081074</v>
      </c>
      <c r="Q98">
        <f t="shared" si="16"/>
        <v>1</v>
      </c>
      <c r="R98">
        <f t="shared" si="17"/>
        <v>0.58648648648648649</v>
      </c>
    </row>
    <row r="99" spans="1:18">
      <c r="A99" t="s">
        <v>128</v>
      </c>
      <c r="B99" t="s">
        <v>60</v>
      </c>
      <c r="C99" t="str">
        <f t="shared" si="9"/>
        <v>Manufacturing and operations</v>
      </c>
      <c r="D99" t="s">
        <v>20</v>
      </c>
      <c r="E99" t="str">
        <f t="shared" si="10"/>
        <v>Dataverse</v>
      </c>
      <c r="F99">
        <v>18</v>
      </c>
      <c r="G99">
        <v>37000</v>
      </c>
      <c r="H99" s="1">
        <v>39312</v>
      </c>
      <c r="I99">
        <v>5</v>
      </c>
      <c r="J99" t="s">
        <v>57</v>
      </c>
      <c r="K99">
        <f t="shared" si="11"/>
        <v>2</v>
      </c>
      <c r="L99">
        <f t="shared" si="12"/>
        <v>5.4054054054054054E-5</v>
      </c>
      <c r="M99" t="b">
        <f t="shared" si="13"/>
        <v>1</v>
      </c>
      <c r="N99" t="b">
        <f t="shared" si="14"/>
        <v>1</v>
      </c>
      <c r="O99" t="s">
        <v>22</v>
      </c>
      <c r="P99">
        <f t="shared" si="15"/>
        <v>0.31081081081081074</v>
      </c>
      <c r="Q99">
        <f t="shared" si="16"/>
        <v>1</v>
      </c>
      <c r="R99">
        <f t="shared" si="17"/>
        <v>0.58648648648648649</v>
      </c>
    </row>
    <row r="100" spans="1:18">
      <c r="A100" t="s">
        <v>129</v>
      </c>
      <c r="B100" t="s">
        <v>102</v>
      </c>
      <c r="C100" t="str">
        <f t="shared" si="9"/>
        <v>Finance</v>
      </c>
      <c r="D100" t="s">
        <v>20</v>
      </c>
      <c r="E100" t="str">
        <f t="shared" si="10"/>
        <v>Dataverse</v>
      </c>
      <c r="F100">
        <v>11</v>
      </c>
      <c r="G100">
        <v>31000</v>
      </c>
      <c r="H100" s="1">
        <v>40407</v>
      </c>
      <c r="I100">
        <v>4</v>
      </c>
      <c r="J100" t="s">
        <v>57</v>
      </c>
      <c r="K100">
        <f t="shared" si="11"/>
        <v>2</v>
      </c>
      <c r="L100">
        <f t="shared" si="12"/>
        <v>6.4516129032258067E-5</v>
      </c>
      <c r="M100" t="b">
        <f t="shared" si="13"/>
        <v>0</v>
      </c>
      <c r="N100" t="b">
        <f t="shared" si="14"/>
        <v>1</v>
      </c>
      <c r="O100" t="s">
        <v>22</v>
      </c>
      <c r="P100">
        <f t="shared" si="15"/>
        <v>0.46774193548387094</v>
      </c>
      <c r="Q100">
        <f t="shared" si="16"/>
        <v>0.75</v>
      </c>
      <c r="R100">
        <f t="shared" si="17"/>
        <v>0.58064516129032262</v>
      </c>
    </row>
    <row r="101" spans="1:18">
      <c r="A101" t="s">
        <v>130</v>
      </c>
      <c r="B101" t="s">
        <v>102</v>
      </c>
      <c r="C101" t="str">
        <f t="shared" si="9"/>
        <v>Finance</v>
      </c>
      <c r="D101" t="s">
        <v>20</v>
      </c>
      <c r="E101" t="str">
        <f t="shared" si="10"/>
        <v>Dataverse</v>
      </c>
      <c r="F101">
        <v>7</v>
      </c>
      <c r="G101">
        <v>31000</v>
      </c>
      <c r="H101" s="1">
        <v>40990</v>
      </c>
      <c r="I101">
        <v>4</v>
      </c>
      <c r="J101" t="s">
        <v>57</v>
      </c>
      <c r="K101">
        <f t="shared" si="11"/>
        <v>2</v>
      </c>
      <c r="L101">
        <f t="shared" si="12"/>
        <v>6.4516129032258067E-5</v>
      </c>
      <c r="M101" t="b">
        <f t="shared" si="13"/>
        <v>0</v>
      </c>
      <c r="N101" t="b">
        <f t="shared" si="14"/>
        <v>1</v>
      </c>
      <c r="O101" t="s">
        <v>22</v>
      </c>
      <c r="P101">
        <f t="shared" si="15"/>
        <v>0.46774193548387094</v>
      </c>
      <c r="Q101">
        <f t="shared" si="16"/>
        <v>0.75</v>
      </c>
      <c r="R101">
        <f t="shared" si="17"/>
        <v>0.58064516129032262</v>
      </c>
    </row>
    <row r="102" spans="1:18">
      <c r="A102" t="s">
        <v>131</v>
      </c>
      <c r="B102" t="s">
        <v>102</v>
      </c>
      <c r="C102" t="str">
        <f t="shared" si="9"/>
        <v>Finance</v>
      </c>
      <c r="D102" t="s">
        <v>27</v>
      </c>
      <c r="E102" t="str">
        <f t="shared" si="10"/>
        <v>Technova</v>
      </c>
      <c r="F102">
        <v>2</v>
      </c>
      <c r="G102">
        <v>31000</v>
      </c>
      <c r="H102" s="1">
        <v>40691</v>
      </c>
      <c r="I102">
        <v>4</v>
      </c>
      <c r="J102" t="s">
        <v>57</v>
      </c>
      <c r="K102">
        <f t="shared" si="11"/>
        <v>2</v>
      </c>
      <c r="L102">
        <f t="shared" si="12"/>
        <v>6.4516129032258067E-5</v>
      </c>
      <c r="M102" t="b">
        <f t="shared" si="13"/>
        <v>0</v>
      </c>
      <c r="N102" t="b">
        <f t="shared" si="14"/>
        <v>0</v>
      </c>
      <c r="O102" t="s">
        <v>22</v>
      </c>
      <c r="P102">
        <f t="shared" si="15"/>
        <v>0.46774193548387094</v>
      </c>
      <c r="Q102">
        <f t="shared" si="16"/>
        <v>0.75</v>
      </c>
      <c r="R102">
        <f t="shared" si="17"/>
        <v>0.58064516129032262</v>
      </c>
    </row>
    <row r="103" spans="1:18">
      <c r="A103" t="s">
        <v>132</v>
      </c>
      <c r="B103" t="s">
        <v>102</v>
      </c>
      <c r="C103" t="str">
        <f t="shared" si="9"/>
        <v>Finance</v>
      </c>
      <c r="D103" t="s">
        <v>20</v>
      </c>
      <c r="E103" t="str">
        <f t="shared" si="10"/>
        <v>Dataverse</v>
      </c>
      <c r="F103">
        <v>3</v>
      </c>
      <c r="G103">
        <v>31000</v>
      </c>
      <c r="H103" s="1">
        <v>39841</v>
      </c>
      <c r="I103">
        <v>4</v>
      </c>
      <c r="J103" t="s">
        <v>57</v>
      </c>
      <c r="K103">
        <f t="shared" si="11"/>
        <v>2</v>
      </c>
      <c r="L103">
        <f t="shared" si="12"/>
        <v>6.4516129032258067E-5</v>
      </c>
      <c r="M103" t="b">
        <f t="shared" si="13"/>
        <v>0</v>
      </c>
      <c r="N103" t="b">
        <f t="shared" si="14"/>
        <v>0</v>
      </c>
      <c r="O103" t="s">
        <v>22</v>
      </c>
      <c r="P103">
        <f t="shared" si="15"/>
        <v>0.46774193548387094</v>
      </c>
      <c r="Q103">
        <f t="shared" si="16"/>
        <v>0.75</v>
      </c>
      <c r="R103">
        <f t="shared" si="17"/>
        <v>0.58064516129032262</v>
      </c>
    </row>
    <row r="104" spans="1:18">
      <c r="A104" t="s">
        <v>133</v>
      </c>
      <c r="B104" t="s">
        <v>56</v>
      </c>
      <c r="C104" t="str">
        <f t="shared" si="9"/>
        <v>IT &amp; Systems</v>
      </c>
      <c r="D104" t="s">
        <v>20</v>
      </c>
      <c r="E104" t="str">
        <f t="shared" si="10"/>
        <v>Dataverse</v>
      </c>
      <c r="F104">
        <v>10</v>
      </c>
      <c r="G104">
        <v>31000</v>
      </c>
      <c r="H104" s="1">
        <v>45360</v>
      </c>
      <c r="I104">
        <v>4</v>
      </c>
      <c r="J104" t="s">
        <v>57</v>
      </c>
      <c r="K104">
        <f t="shared" si="11"/>
        <v>2</v>
      </c>
      <c r="L104">
        <f t="shared" si="12"/>
        <v>6.4516129032258067E-5</v>
      </c>
      <c r="M104" t="b">
        <f t="shared" si="13"/>
        <v>0</v>
      </c>
      <c r="N104" t="b">
        <f t="shared" si="14"/>
        <v>1</v>
      </c>
      <c r="O104" t="s">
        <v>22</v>
      </c>
      <c r="P104">
        <f t="shared" si="15"/>
        <v>0.46774193548387094</v>
      </c>
      <c r="Q104">
        <f t="shared" si="16"/>
        <v>0.75</v>
      </c>
      <c r="R104">
        <f t="shared" si="17"/>
        <v>0.58064516129032262</v>
      </c>
    </row>
    <row r="105" spans="1:18">
      <c r="A105" t="s">
        <v>134</v>
      </c>
      <c r="B105" t="s">
        <v>56</v>
      </c>
      <c r="C105" t="str">
        <f t="shared" si="9"/>
        <v>IT &amp; Systems</v>
      </c>
      <c r="D105" t="s">
        <v>27</v>
      </c>
      <c r="E105" t="str">
        <f t="shared" si="10"/>
        <v>Technova</v>
      </c>
      <c r="F105">
        <v>19</v>
      </c>
      <c r="G105">
        <v>31000</v>
      </c>
      <c r="H105" s="1">
        <v>38334</v>
      </c>
      <c r="I105">
        <v>4</v>
      </c>
      <c r="J105" t="s">
        <v>57</v>
      </c>
      <c r="K105">
        <f t="shared" si="11"/>
        <v>2</v>
      </c>
      <c r="L105">
        <f t="shared" si="12"/>
        <v>6.4516129032258067E-5</v>
      </c>
      <c r="M105" t="b">
        <f t="shared" si="13"/>
        <v>1</v>
      </c>
      <c r="N105" t="b">
        <f t="shared" si="14"/>
        <v>1</v>
      </c>
      <c r="O105" t="s">
        <v>22</v>
      </c>
      <c r="P105">
        <f t="shared" si="15"/>
        <v>0.46774193548387094</v>
      </c>
      <c r="Q105">
        <f t="shared" si="16"/>
        <v>0.75</v>
      </c>
      <c r="R105">
        <f t="shared" si="17"/>
        <v>0.58064516129032262</v>
      </c>
    </row>
    <row r="106" spans="1:18">
      <c r="A106" t="s">
        <v>135</v>
      </c>
      <c r="B106" t="s">
        <v>56</v>
      </c>
      <c r="C106" t="str">
        <f t="shared" si="9"/>
        <v>IT &amp; Systems</v>
      </c>
      <c r="D106" t="s">
        <v>27</v>
      </c>
      <c r="E106" t="str">
        <f t="shared" si="10"/>
        <v>Technova</v>
      </c>
      <c r="F106">
        <v>24</v>
      </c>
      <c r="G106">
        <v>31000</v>
      </c>
      <c r="H106" s="1">
        <v>44306</v>
      </c>
      <c r="I106">
        <v>4</v>
      </c>
      <c r="J106" t="s">
        <v>57</v>
      </c>
      <c r="K106">
        <f t="shared" si="11"/>
        <v>2</v>
      </c>
      <c r="L106">
        <f t="shared" si="12"/>
        <v>6.4516129032258067E-5</v>
      </c>
      <c r="M106" t="b">
        <f t="shared" si="13"/>
        <v>1</v>
      </c>
      <c r="N106" t="b">
        <f t="shared" si="14"/>
        <v>1</v>
      </c>
      <c r="O106" t="s">
        <v>22</v>
      </c>
      <c r="P106">
        <f t="shared" si="15"/>
        <v>0.46774193548387094</v>
      </c>
      <c r="Q106">
        <f t="shared" si="16"/>
        <v>0.75</v>
      </c>
      <c r="R106">
        <f t="shared" si="17"/>
        <v>0.58064516129032262</v>
      </c>
    </row>
    <row r="107" spans="1:18">
      <c r="A107" t="s">
        <v>136</v>
      </c>
      <c r="B107" t="s">
        <v>60</v>
      </c>
      <c r="C107" t="str">
        <f t="shared" si="9"/>
        <v>Manufacturing and operations</v>
      </c>
      <c r="D107" t="s">
        <v>27</v>
      </c>
      <c r="E107" t="str">
        <f t="shared" si="10"/>
        <v>Technova</v>
      </c>
      <c r="F107">
        <v>15</v>
      </c>
      <c r="G107">
        <v>31000</v>
      </c>
      <c r="H107" s="1">
        <v>45446</v>
      </c>
      <c r="I107">
        <v>4</v>
      </c>
      <c r="J107" t="s">
        <v>57</v>
      </c>
      <c r="K107">
        <f t="shared" si="11"/>
        <v>2</v>
      </c>
      <c r="L107">
        <f t="shared" si="12"/>
        <v>6.4516129032258067E-5</v>
      </c>
      <c r="M107" t="b">
        <f t="shared" si="13"/>
        <v>0</v>
      </c>
      <c r="N107" t="b">
        <f t="shared" si="14"/>
        <v>1</v>
      </c>
      <c r="O107" t="s">
        <v>22</v>
      </c>
      <c r="P107">
        <f t="shared" si="15"/>
        <v>0.46774193548387094</v>
      </c>
      <c r="Q107">
        <f t="shared" si="16"/>
        <v>0.75</v>
      </c>
      <c r="R107">
        <f t="shared" si="17"/>
        <v>0.58064516129032262</v>
      </c>
    </row>
    <row r="108" spans="1:18">
      <c r="A108" t="s">
        <v>137</v>
      </c>
      <c r="B108" t="s">
        <v>60</v>
      </c>
      <c r="C108" t="str">
        <f t="shared" si="9"/>
        <v>Manufacturing and operations</v>
      </c>
      <c r="D108" t="s">
        <v>20</v>
      </c>
      <c r="E108" t="str">
        <f t="shared" si="10"/>
        <v>Dataverse</v>
      </c>
      <c r="F108">
        <v>8</v>
      </c>
      <c r="G108">
        <v>31000</v>
      </c>
      <c r="H108" s="1">
        <v>42787</v>
      </c>
      <c r="I108">
        <v>4</v>
      </c>
      <c r="J108" t="s">
        <v>57</v>
      </c>
      <c r="K108">
        <f t="shared" si="11"/>
        <v>2</v>
      </c>
      <c r="L108">
        <f t="shared" si="12"/>
        <v>6.4516129032258067E-5</v>
      </c>
      <c r="M108" t="b">
        <f t="shared" si="13"/>
        <v>0</v>
      </c>
      <c r="N108" t="b">
        <f t="shared" si="14"/>
        <v>1</v>
      </c>
      <c r="O108" t="s">
        <v>22</v>
      </c>
      <c r="P108">
        <f t="shared" si="15"/>
        <v>0.46774193548387094</v>
      </c>
      <c r="Q108">
        <f t="shared" si="16"/>
        <v>0.75</v>
      </c>
      <c r="R108">
        <f t="shared" si="17"/>
        <v>0.58064516129032262</v>
      </c>
    </row>
    <row r="109" spans="1:18">
      <c r="A109" t="s">
        <v>138</v>
      </c>
      <c r="B109" t="s">
        <v>67</v>
      </c>
      <c r="C109" t="str">
        <f t="shared" si="9"/>
        <v>Quality Assurance</v>
      </c>
      <c r="D109" t="s">
        <v>20</v>
      </c>
      <c r="E109" t="str">
        <f t="shared" si="10"/>
        <v>Dataverse</v>
      </c>
      <c r="F109">
        <v>1</v>
      </c>
      <c r="G109">
        <v>31000</v>
      </c>
      <c r="H109" s="1">
        <v>43145</v>
      </c>
      <c r="I109">
        <v>4</v>
      </c>
      <c r="J109" t="s">
        <v>57</v>
      </c>
      <c r="K109">
        <f t="shared" si="11"/>
        <v>2</v>
      </c>
      <c r="L109">
        <f t="shared" si="12"/>
        <v>6.4516129032258067E-5</v>
      </c>
      <c r="M109" t="b">
        <f t="shared" si="13"/>
        <v>0</v>
      </c>
      <c r="N109" t="b">
        <f t="shared" si="14"/>
        <v>0</v>
      </c>
      <c r="O109" t="s">
        <v>22</v>
      </c>
      <c r="P109">
        <f t="shared" si="15"/>
        <v>0.46774193548387094</v>
      </c>
      <c r="Q109">
        <f t="shared" si="16"/>
        <v>0.75</v>
      </c>
      <c r="R109">
        <f t="shared" si="17"/>
        <v>0.58064516129032262</v>
      </c>
    </row>
    <row r="110" spans="1:18">
      <c r="A110" t="s">
        <v>139</v>
      </c>
      <c r="B110" t="s">
        <v>102</v>
      </c>
      <c r="C110" t="str">
        <f t="shared" si="9"/>
        <v>Finance</v>
      </c>
      <c r="D110" t="s">
        <v>27</v>
      </c>
      <c r="E110" t="str">
        <f t="shared" si="10"/>
        <v>Technova</v>
      </c>
      <c r="F110">
        <v>10</v>
      </c>
      <c r="G110">
        <v>38000</v>
      </c>
      <c r="H110" s="1">
        <v>38572</v>
      </c>
      <c r="I110">
        <v>5</v>
      </c>
      <c r="J110" t="s">
        <v>57</v>
      </c>
      <c r="K110">
        <f t="shared" si="11"/>
        <v>2</v>
      </c>
      <c r="L110">
        <f t="shared" si="12"/>
        <v>5.2631578947368424E-5</v>
      </c>
      <c r="M110" t="b">
        <f t="shared" si="13"/>
        <v>0</v>
      </c>
      <c r="N110" t="b">
        <f t="shared" si="14"/>
        <v>1</v>
      </c>
      <c r="O110" t="s">
        <v>22</v>
      </c>
      <c r="P110">
        <f t="shared" si="15"/>
        <v>0.28947368421052633</v>
      </c>
      <c r="Q110">
        <f t="shared" si="16"/>
        <v>1</v>
      </c>
      <c r="R110">
        <f t="shared" si="17"/>
        <v>0.5736842105263158</v>
      </c>
    </row>
    <row r="111" spans="1:18">
      <c r="A111" t="s">
        <v>140</v>
      </c>
      <c r="B111" t="s">
        <v>102</v>
      </c>
      <c r="C111" t="str">
        <f t="shared" si="9"/>
        <v>Finance</v>
      </c>
      <c r="D111" t="s">
        <v>27</v>
      </c>
      <c r="E111" t="str">
        <f t="shared" si="10"/>
        <v>Technova</v>
      </c>
      <c r="F111">
        <v>22</v>
      </c>
      <c r="G111">
        <v>38000</v>
      </c>
      <c r="H111" s="1">
        <v>39542</v>
      </c>
      <c r="I111">
        <v>5</v>
      </c>
      <c r="J111" t="s">
        <v>57</v>
      </c>
      <c r="K111">
        <f t="shared" si="11"/>
        <v>2</v>
      </c>
      <c r="L111">
        <f t="shared" si="12"/>
        <v>5.2631578947368424E-5</v>
      </c>
      <c r="M111" t="b">
        <f t="shared" si="13"/>
        <v>1</v>
      </c>
      <c r="N111" t="b">
        <f t="shared" si="14"/>
        <v>1</v>
      </c>
      <c r="O111" t="s">
        <v>22</v>
      </c>
      <c r="P111">
        <f t="shared" si="15"/>
        <v>0.28947368421052633</v>
      </c>
      <c r="Q111">
        <f t="shared" si="16"/>
        <v>1</v>
      </c>
      <c r="R111">
        <f t="shared" si="17"/>
        <v>0.5736842105263158</v>
      </c>
    </row>
    <row r="112" spans="1:18">
      <c r="A112" t="s">
        <v>141</v>
      </c>
      <c r="B112" t="s">
        <v>56</v>
      </c>
      <c r="C112" t="str">
        <f t="shared" si="9"/>
        <v>IT &amp; Systems</v>
      </c>
      <c r="D112" t="s">
        <v>27</v>
      </c>
      <c r="E112" t="str">
        <f t="shared" si="10"/>
        <v>Technova</v>
      </c>
      <c r="F112">
        <v>20</v>
      </c>
      <c r="G112">
        <v>38000</v>
      </c>
      <c r="H112" s="1">
        <v>43169</v>
      </c>
      <c r="I112">
        <v>5</v>
      </c>
      <c r="J112" t="s">
        <v>57</v>
      </c>
      <c r="K112">
        <f t="shared" si="11"/>
        <v>2</v>
      </c>
      <c r="L112">
        <f t="shared" si="12"/>
        <v>5.2631578947368424E-5</v>
      </c>
      <c r="M112" t="b">
        <f t="shared" si="13"/>
        <v>1</v>
      </c>
      <c r="N112" t="b">
        <f t="shared" si="14"/>
        <v>1</v>
      </c>
      <c r="O112" t="s">
        <v>22</v>
      </c>
      <c r="P112">
        <f t="shared" si="15"/>
        <v>0.28947368421052633</v>
      </c>
      <c r="Q112">
        <f t="shared" si="16"/>
        <v>1</v>
      </c>
      <c r="R112">
        <f t="shared" si="17"/>
        <v>0.5736842105263158</v>
      </c>
    </row>
    <row r="113" spans="1:18">
      <c r="A113" t="s">
        <v>142</v>
      </c>
      <c r="B113" t="s">
        <v>67</v>
      </c>
      <c r="C113" t="str">
        <f t="shared" si="9"/>
        <v>Quality Assurance</v>
      </c>
      <c r="D113" t="s">
        <v>20</v>
      </c>
      <c r="E113" t="str">
        <f t="shared" si="10"/>
        <v>Dataverse</v>
      </c>
      <c r="F113">
        <v>10</v>
      </c>
      <c r="G113">
        <v>38000</v>
      </c>
      <c r="H113" s="1">
        <v>43172</v>
      </c>
      <c r="I113">
        <v>5</v>
      </c>
      <c r="J113" t="s">
        <v>57</v>
      </c>
      <c r="K113">
        <f t="shared" si="11"/>
        <v>2</v>
      </c>
      <c r="L113">
        <f t="shared" si="12"/>
        <v>5.2631578947368424E-5</v>
      </c>
      <c r="M113" t="b">
        <f t="shared" si="13"/>
        <v>0</v>
      </c>
      <c r="N113" t="b">
        <f t="shared" si="14"/>
        <v>1</v>
      </c>
      <c r="O113" t="s">
        <v>22</v>
      </c>
      <c r="P113">
        <f t="shared" si="15"/>
        <v>0.28947368421052633</v>
      </c>
      <c r="Q113">
        <f t="shared" si="16"/>
        <v>1</v>
      </c>
      <c r="R113">
        <f t="shared" si="17"/>
        <v>0.5736842105263158</v>
      </c>
    </row>
    <row r="114" spans="1:18">
      <c r="A114" t="s">
        <v>143</v>
      </c>
      <c r="B114" t="s">
        <v>70</v>
      </c>
      <c r="C114" t="str">
        <f t="shared" si="9"/>
        <v>Customer Experience</v>
      </c>
      <c r="D114" t="s">
        <v>27</v>
      </c>
      <c r="E114" t="str">
        <f t="shared" si="10"/>
        <v>Technova</v>
      </c>
      <c r="F114">
        <v>21</v>
      </c>
      <c r="G114">
        <v>32000</v>
      </c>
      <c r="H114" s="1">
        <v>39322</v>
      </c>
      <c r="I114">
        <v>4</v>
      </c>
      <c r="J114" t="s">
        <v>57</v>
      </c>
      <c r="K114">
        <f t="shared" si="11"/>
        <v>2</v>
      </c>
      <c r="L114">
        <f t="shared" si="12"/>
        <v>6.2500000000000001E-5</v>
      </c>
      <c r="M114" t="b">
        <f t="shared" si="13"/>
        <v>1</v>
      </c>
      <c r="N114" t="b">
        <f t="shared" si="14"/>
        <v>1</v>
      </c>
      <c r="O114" t="s">
        <v>22</v>
      </c>
      <c r="P114">
        <f t="shared" si="15"/>
        <v>0.4375</v>
      </c>
      <c r="Q114">
        <f t="shared" si="16"/>
        <v>0.75</v>
      </c>
      <c r="R114">
        <f t="shared" si="17"/>
        <v>0.5625</v>
      </c>
    </row>
    <row r="115" spans="1:18">
      <c r="A115" t="s">
        <v>144</v>
      </c>
      <c r="B115" t="s">
        <v>19</v>
      </c>
      <c r="C115" t="str">
        <f t="shared" si="9"/>
        <v>Research &amp; Department</v>
      </c>
      <c r="D115" t="s">
        <v>20</v>
      </c>
      <c r="E115" t="str">
        <f t="shared" si="10"/>
        <v>Dataverse</v>
      </c>
      <c r="F115">
        <v>10</v>
      </c>
      <c r="G115">
        <v>16000</v>
      </c>
      <c r="H115" s="1">
        <v>40151</v>
      </c>
      <c r="I115">
        <v>4</v>
      </c>
      <c r="J115" t="s">
        <v>21</v>
      </c>
      <c r="K115">
        <f t="shared" si="11"/>
        <v>1</v>
      </c>
      <c r="L115">
        <f t="shared" si="12"/>
        <v>6.2500000000000001E-5</v>
      </c>
      <c r="M115" t="b">
        <f t="shared" si="13"/>
        <v>0</v>
      </c>
      <c r="N115" t="b">
        <f t="shared" si="14"/>
        <v>1</v>
      </c>
      <c r="O115" t="s">
        <v>22</v>
      </c>
      <c r="P115">
        <f t="shared" si="15"/>
        <v>0.4375</v>
      </c>
      <c r="Q115">
        <f t="shared" si="16"/>
        <v>0.75</v>
      </c>
      <c r="R115">
        <f t="shared" si="17"/>
        <v>0.5625</v>
      </c>
    </row>
    <row r="116" spans="1:18">
      <c r="A116" t="s">
        <v>145</v>
      </c>
      <c r="B116" t="s">
        <v>102</v>
      </c>
      <c r="C116" t="str">
        <f t="shared" si="9"/>
        <v>Finance</v>
      </c>
      <c r="D116" t="s">
        <v>27</v>
      </c>
      <c r="E116" t="str">
        <f t="shared" si="10"/>
        <v>Technova</v>
      </c>
      <c r="F116">
        <v>5</v>
      </c>
      <c r="G116">
        <v>32000</v>
      </c>
      <c r="H116" s="1">
        <v>45326</v>
      </c>
      <c r="I116">
        <v>4</v>
      </c>
      <c r="J116" t="s">
        <v>57</v>
      </c>
      <c r="K116">
        <f t="shared" si="11"/>
        <v>2</v>
      </c>
      <c r="L116">
        <f t="shared" si="12"/>
        <v>6.2500000000000001E-5</v>
      </c>
      <c r="M116" t="b">
        <f t="shared" si="13"/>
        <v>0</v>
      </c>
      <c r="N116" t="b">
        <f t="shared" si="14"/>
        <v>0</v>
      </c>
      <c r="O116" t="s">
        <v>22</v>
      </c>
      <c r="P116">
        <f t="shared" si="15"/>
        <v>0.4375</v>
      </c>
      <c r="Q116">
        <f t="shared" si="16"/>
        <v>0.75</v>
      </c>
      <c r="R116">
        <f t="shared" si="17"/>
        <v>0.5625</v>
      </c>
    </row>
    <row r="117" spans="1:18">
      <c r="A117" t="s">
        <v>146</v>
      </c>
      <c r="B117" t="s">
        <v>19</v>
      </c>
      <c r="C117" t="str">
        <f t="shared" si="9"/>
        <v>Research &amp; Department</v>
      </c>
      <c r="D117" t="s">
        <v>20</v>
      </c>
      <c r="E117" t="str">
        <f t="shared" si="10"/>
        <v>Dataverse</v>
      </c>
      <c r="F117">
        <v>7</v>
      </c>
      <c r="G117">
        <v>16000</v>
      </c>
      <c r="H117" s="1">
        <v>44592</v>
      </c>
      <c r="I117">
        <v>4</v>
      </c>
      <c r="J117" t="s">
        <v>21</v>
      </c>
      <c r="K117">
        <f t="shared" si="11"/>
        <v>1</v>
      </c>
      <c r="L117">
        <f t="shared" si="12"/>
        <v>6.2500000000000001E-5</v>
      </c>
      <c r="M117" t="b">
        <f t="shared" si="13"/>
        <v>0</v>
      </c>
      <c r="N117" t="b">
        <f t="shared" si="14"/>
        <v>1</v>
      </c>
      <c r="O117" t="s">
        <v>22</v>
      </c>
      <c r="P117">
        <f t="shared" si="15"/>
        <v>0.4375</v>
      </c>
      <c r="Q117">
        <f t="shared" si="16"/>
        <v>0.75</v>
      </c>
      <c r="R117">
        <f t="shared" si="17"/>
        <v>0.5625</v>
      </c>
    </row>
    <row r="118" spans="1:18">
      <c r="A118" t="s">
        <v>147</v>
      </c>
      <c r="B118" t="s">
        <v>60</v>
      </c>
      <c r="C118" t="str">
        <f t="shared" si="9"/>
        <v>Manufacturing and operations</v>
      </c>
      <c r="D118" t="s">
        <v>27</v>
      </c>
      <c r="E118" t="str">
        <f t="shared" si="10"/>
        <v>Technova</v>
      </c>
      <c r="F118">
        <v>25</v>
      </c>
      <c r="G118">
        <v>32000</v>
      </c>
      <c r="H118" s="1">
        <v>41158</v>
      </c>
      <c r="I118">
        <v>4</v>
      </c>
      <c r="J118" t="s">
        <v>57</v>
      </c>
      <c r="K118">
        <f t="shared" si="11"/>
        <v>2</v>
      </c>
      <c r="L118">
        <f t="shared" si="12"/>
        <v>6.2500000000000001E-5</v>
      </c>
      <c r="M118" t="b">
        <f t="shared" si="13"/>
        <v>1</v>
      </c>
      <c r="N118" t="b">
        <f t="shared" si="14"/>
        <v>1</v>
      </c>
      <c r="O118" t="s">
        <v>22</v>
      </c>
      <c r="P118">
        <f t="shared" si="15"/>
        <v>0.4375</v>
      </c>
      <c r="Q118">
        <f t="shared" si="16"/>
        <v>0.75</v>
      </c>
      <c r="R118">
        <f t="shared" si="17"/>
        <v>0.5625</v>
      </c>
    </row>
    <row r="119" spans="1:18">
      <c r="A119" t="s">
        <v>148</v>
      </c>
      <c r="B119" t="s">
        <v>60</v>
      </c>
      <c r="C119" t="str">
        <f t="shared" si="9"/>
        <v>Manufacturing and operations</v>
      </c>
      <c r="D119" t="s">
        <v>20</v>
      </c>
      <c r="E119" t="str">
        <f t="shared" si="10"/>
        <v>Dataverse</v>
      </c>
      <c r="F119">
        <v>25</v>
      </c>
      <c r="G119">
        <v>32000</v>
      </c>
      <c r="H119" s="1">
        <v>43510</v>
      </c>
      <c r="I119">
        <v>4</v>
      </c>
      <c r="J119" t="s">
        <v>57</v>
      </c>
      <c r="K119">
        <f t="shared" si="11"/>
        <v>2</v>
      </c>
      <c r="L119">
        <f t="shared" si="12"/>
        <v>6.2500000000000001E-5</v>
      </c>
      <c r="M119" t="b">
        <f t="shared" si="13"/>
        <v>1</v>
      </c>
      <c r="N119" t="b">
        <f t="shared" si="14"/>
        <v>1</v>
      </c>
      <c r="O119" t="s">
        <v>22</v>
      </c>
      <c r="P119">
        <f t="shared" si="15"/>
        <v>0.4375</v>
      </c>
      <c r="Q119">
        <f t="shared" si="16"/>
        <v>0.75</v>
      </c>
      <c r="R119">
        <f t="shared" si="17"/>
        <v>0.5625</v>
      </c>
    </row>
    <row r="120" spans="1:18">
      <c r="A120" t="s">
        <v>149</v>
      </c>
      <c r="B120" t="s">
        <v>67</v>
      </c>
      <c r="C120" t="str">
        <f t="shared" si="9"/>
        <v>Quality Assurance</v>
      </c>
      <c r="D120" t="s">
        <v>20</v>
      </c>
      <c r="E120" t="str">
        <f t="shared" si="10"/>
        <v>Dataverse</v>
      </c>
      <c r="F120">
        <v>24</v>
      </c>
      <c r="G120">
        <v>32000</v>
      </c>
      <c r="H120" s="1">
        <v>39712</v>
      </c>
      <c r="I120">
        <v>4</v>
      </c>
      <c r="J120" t="s">
        <v>57</v>
      </c>
      <c r="K120">
        <f t="shared" si="11"/>
        <v>2</v>
      </c>
      <c r="L120">
        <f t="shared" si="12"/>
        <v>6.2500000000000001E-5</v>
      </c>
      <c r="M120" t="b">
        <f t="shared" si="13"/>
        <v>1</v>
      </c>
      <c r="N120" t="b">
        <f t="shared" si="14"/>
        <v>1</v>
      </c>
      <c r="O120" t="s">
        <v>22</v>
      </c>
      <c r="P120">
        <f t="shared" si="15"/>
        <v>0.4375</v>
      </c>
      <c r="Q120">
        <f t="shared" si="16"/>
        <v>0.75</v>
      </c>
      <c r="R120">
        <f t="shared" si="17"/>
        <v>0.5625</v>
      </c>
    </row>
    <row r="121" spans="1:18">
      <c r="A121" t="s">
        <v>150</v>
      </c>
      <c r="B121" t="s">
        <v>56</v>
      </c>
      <c r="C121" t="str">
        <f t="shared" si="9"/>
        <v>IT &amp; Systems</v>
      </c>
      <c r="D121" t="s">
        <v>20</v>
      </c>
      <c r="E121" t="str">
        <f t="shared" si="10"/>
        <v>Dataverse</v>
      </c>
      <c r="F121">
        <v>16</v>
      </c>
      <c r="G121">
        <v>39000</v>
      </c>
      <c r="H121" s="1">
        <v>41095</v>
      </c>
      <c r="I121">
        <v>5</v>
      </c>
      <c r="J121" t="s">
        <v>57</v>
      </c>
      <c r="K121">
        <f t="shared" si="11"/>
        <v>2</v>
      </c>
      <c r="L121">
        <f t="shared" si="12"/>
        <v>5.1282051282051279E-5</v>
      </c>
      <c r="M121" t="b">
        <f t="shared" si="13"/>
        <v>1</v>
      </c>
      <c r="N121" t="b">
        <f t="shared" si="14"/>
        <v>1</v>
      </c>
      <c r="O121" t="s">
        <v>22</v>
      </c>
      <c r="P121">
        <f t="shared" si="15"/>
        <v>0.26923076923076916</v>
      </c>
      <c r="Q121">
        <f t="shared" si="16"/>
        <v>1</v>
      </c>
      <c r="R121">
        <f t="shared" si="17"/>
        <v>0.56153846153846154</v>
      </c>
    </row>
    <row r="122" spans="1:18">
      <c r="A122" t="s">
        <v>151</v>
      </c>
      <c r="B122" t="s">
        <v>56</v>
      </c>
      <c r="C122" t="str">
        <f t="shared" si="9"/>
        <v>IT &amp; Systems</v>
      </c>
      <c r="D122" t="s">
        <v>27</v>
      </c>
      <c r="E122" t="str">
        <f t="shared" si="10"/>
        <v>Technova</v>
      </c>
      <c r="F122">
        <v>25</v>
      </c>
      <c r="G122">
        <v>39000</v>
      </c>
      <c r="H122" s="1">
        <v>39213</v>
      </c>
      <c r="I122">
        <v>5</v>
      </c>
      <c r="J122" t="s">
        <v>57</v>
      </c>
      <c r="K122">
        <f t="shared" si="11"/>
        <v>2</v>
      </c>
      <c r="L122">
        <f t="shared" si="12"/>
        <v>5.1282051282051279E-5</v>
      </c>
      <c r="M122" t="b">
        <f t="shared" si="13"/>
        <v>1</v>
      </c>
      <c r="N122" t="b">
        <f t="shared" si="14"/>
        <v>1</v>
      </c>
      <c r="O122" t="s">
        <v>22</v>
      </c>
      <c r="P122">
        <f t="shared" si="15"/>
        <v>0.26923076923076916</v>
      </c>
      <c r="Q122">
        <f t="shared" si="16"/>
        <v>1</v>
      </c>
      <c r="R122">
        <f t="shared" si="17"/>
        <v>0.56153846153846154</v>
      </c>
    </row>
    <row r="123" spans="1:18">
      <c r="A123" t="s">
        <v>152</v>
      </c>
      <c r="B123" t="s">
        <v>56</v>
      </c>
      <c r="C123" t="str">
        <f t="shared" si="9"/>
        <v>IT &amp; Systems</v>
      </c>
      <c r="D123" t="s">
        <v>27</v>
      </c>
      <c r="E123" t="str">
        <f t="shared" si="10"/>
        <v>Technova</v>
      </c>
      <c r="F123">
        <v>24</v>
      </c>
      <c r="G123">
        <v>39000</v>
      </c>
      <c r="H123" s="1">
        <v>44472</v>
      </c>
      <c r="I123">
        <v>5</v>
      </c>
      <c r="J123" t="s">
        <v>57</v>
      </c>
      <c r="K123">
        <f t="shared" si="11"/>
        <v>2</v>
      </c>
      <c r="L123">
        <f t="shared" si="12"/>
        <v>5.1282051282051279E-5</v>
      </c>
      <c r="M123" t="b">
        <f t="shared" si="13"/>
        <v>1</v>
      </c>
      <c r="N123" t="b">
        <f t="shared" si="14"/>
        <v>1</v>
      </c>
      <c r="O123" t="s">
        <v>22</v>
      </c>
      <c r="P123">
        <f t="shared" si="15"/>
        <v>0.26923076923076916</v>
      </c>
      <c r="Q123">
        <f t="shared" si="16"/>
        <v>1</v>
      </c>
      <c r="R123">
        <f t="shared" si="17"/>
        <v>0.56153846153846154</v>
      </c>
    </row>
    <row r="124" spans="1:18">
      <c r="A124" t="s">
        <v>153</v>
      </c>
      <c r="B124" t="s">
        <v>60</v>
      </c>
      <c r="C124" t="str">
        <f t="shared" si="9"/>
        <v>Manufacturing and operations</v>
      </c>
      <c r="D124" t="s">
        <v>27</v>
      </c>
      <c r="E124" t="str">
        <f t="shared" si="10"/>
        <v>Technova</v>
      </c>
      <c r="F124">
        <v>23</v>
      </c>
      <c r="G124">
        <v>39000</v>
      </c>
      <c r="H124" s="1">
        <v>43685</v>
      </c>
      <c r="I124">
        <v>5</v>
      </c>
      <c r="J124" t="s">
        <v>57</v>
      </c>
      <c r="K124">
        <f t="shared" si="11"/>
        <v>2</v>
      </c>
      <c r="L124">
        <f t="shared" si="12"/>
        <v>5.1282051282051279E-5</v>
      </c>
      <c r="M124" t="b">
        <f t="shared" si="13"/>
        <v>1</v>
      </c>
      <c r="N124" t="b">
        <f t="shared" si="14"/>
        <v>1</v>
      </c>
      <c r="O124" t="s">
        <v>22</v>
      </c>
      <c r="P124">
        <f t="shared" si="15"/>
        <v>0.26923076923076916</v>
      </c>
      <c r="Q124">
        <f t="shared" si="16"/>
        <v>1</v>
      </c>
      <c r="R124">
        <f t="shared" si="17"/>
        <v>0.56153846153846154</v>
      </c>
    </row>
    <row r="125" spans="1:18">
      <c r="A125" t="s">
        <v>154</v>
      </c>
      <c r="B125" t="s">
        <v>60</v>
      </c>
      <c r="C125" t="str">
        <f t="shared" si="9"/>
        <v>Manufacturing and operations</v>
      </c>
      <c r="D125" t="s">
        <v>20</v>
      </c>
      <c r="E125" t="str">
        <f t="shared" si="10"/>
        <v>Dataverse</v>
      </c>
      <c r="F125">
        <v>11</v>
      </c>
      <c r="G125">
        <v>39000</v>
      </c>
      <c r="H125" s="1">
        <v>38937</v>
      </c>
      <c r="I125">
        <v>5</v>
      </c>
      <c r="J125" t="s">
        <v>57</v>
      </c>
      <c r="K125">
        <f t="shared" si="11"/>
        <v>2</v>
      </c>
      <c r="L125">
        <f t="shared" si="12"/>
        <v>5.1282051282051279E-5</v>
      </c>
      <c r="M125" t="b">
        <f t="shared" si="13"/>
        <v>0</v>
      </c>
      <c r="N125" t="b">
        <f t="shared" si="14"/>
        <v>1</v>
      </c>
      <c r="O125" t="s">
        <v>22</v>
      </c>
      <c r="P125">
        <f t="shared" si="15"/>
        <v>0.26923076923076916</v>
      </c>
      <c r="Q125">
        <f t="shared" si="16"/>
        <v>1</v>
      </c>
      <c r="R125">
        <f t="shared" si="17"/>
        <v>0.56153846153846154</v>
      </c>
    </row>
    <row r="126" spans="1:18">
      <c r="A126" t="s">
        <v>155</v>
      </c>
      <c r="B126" t="s">
        <v>70</v>
      </c>
      <c r="C126" t="str">
        <f t="shared" si="9"/>
        <v>Customer Experience</v>
      </c>
      <c r="D126" t="s">
        <v>20</v>
      </c>
      <c r="E126" t="str">
        <f t="shared" si="10"/>
        <v>Dataverse</v>
      </c>
      <c r="F126">
        <v>1</v>
      </c>
      <c r="G126">
        <v>40000</v>
      </c>
      <c r="H126" s="1">
        <v>43668</v>
      </c>
      <c r="I126">
        <v>5</v>
      </c>
      <c r="J126" t="s">
        <v>57</v>
      </c>
      <c r="K126">
        <f t="shared" si="11"/>
        <v>2</v>
      </c>
      <c r="L126">
        <f t="shared" si="12"/>
        <v>5.0000000000000002E-5</v>
      </c>
      <c r="M126" t="b">
        <f t="shared" si="13"/>
        <v>0</v>
      </c>
      <c r="N126" t="b">
        <f t="shared" si="14"/>
        <v>0</v>
      </c>
      <c r="O126" t="s">
        <v>22</v>
      </c>
      <c r="P126">
        <f t="shared" si="15"/>
        <v>0.25</v>
      </c>
      <c r="Q126">
        <f t="shared" si="16"/>
        <v>1</v>
      </c>
      <c r="R126">
        <f t="shared" si="17"/>
        <v>0.55000000000000004</v>
      </c>
    </row>
    <row r="127" spans="1:18">
      <c r="A127" t="s">
        <v>156</v>
      </c>
      <c r="B127" t="s">
        <v>102</v>
      </c>
      <c r="C127" t="str">
        <f t="shared" si="9"/>
        <v>Finance</v>
      </c>
      <c r="D127" t="s">
        <v>27</v>
      </c>
      <c r="E127" t="str">
        <f t="shared" si="10"/>
        <v>Technova</v>
      </c>
      <c r="F127">
        <v>24</v>
      </c>
      <c r="G127">
        <v>40000</v>
      </c>
      <c r="H127" s="1">
        <v>39808</v>
      </c>
      <c r="I127">
        <v>5</v>
      </c>
      <c r="J127" t="s">
        <v>57</v>
      </c>
      <c r="K127">
        <f t="shared" si="11"/>
        <v>2</v>
      </c>
      <c r="L127">
        <f t="shared" si="12"/>
        <v>5.0000000000000002E-5</v>
      </c>
      <c r="M127" t="b">
        <f t="shared" si="13"/>
        <v>1</v>
      </c>
      <c r="N127" t="b">
        <f t="shared" si="14"/>
        <v>1</v>
      </c>
      <c r="O127" t="s">
        <v>22</v>
      </c>
      <c r="P127">
        <f t="shared" si="15"/>
        <v>0.25</v>
      </c>
      <c r="Q127">
        <f t="shared" si="16"/>
        <v>1</v>
      </c>
      <c r="R127">
        <f t="shared" si="17"/>
        <v>0.55000000000000004</v>
      </c>
    </row>
    <row r="128" spans="1:18">
      <c r="A128" t="s">
        <v>157</v>
      </c>
      <c r="B128" t="s">
        <v>102</v>
      </c>
      <c r="C128" t="str">
        <f t="shared" si="9"/>
        <v>Finance</v>
      </c>
      <c r="D128" t="s">
        <v>20</v>
      </c>
      <c r="E128" t="str">
        <f t="shared" si="10"/>
        <v>Dataverse</v>
      </c>
      <c r="F128">
        <v>3</v>
      </c>
      <c r="G128">
        <v>40000</v>
      </c>
      <c r="H128" s="1">
        <v>38533</v>
      </c>
      <c r="I128">
        <v>5</v>
      </c>
      <c r="J128" t="s">
        <v>57</v>
      </c>
      <c r="K128">
        <f t="shared" si="11"/>
        <v>2</v>
      </c>
      <c r="L128">
        <f t="shared" si="12"/>
        <v>5.0000000000000002E-5</v>
      </c>
      <c r="M128" t="b">
        <f t="shared" si="13"/>
        <v>0</v>
      </c>
      <c r="N128" t="b">
        <f t="shared" si="14"/>
        <v>0</v>
      </c>
      <c r="O128" t="s">
        <v>22</v>
      </c>
      <c r="P128">
        <f t="shared" si="15"/>
        <v>0.25</v>
      </c>
      <c r="Q128">
        <f t="shared" si="16"/>
        <v>1</v>
      </c>
      <c r="R128">
        <f t="shared" si="17"/>
        <v>0.55000000000000004</v>
      </c>
    </row>
    <row r="129" spans="1:18">
      <c r="A129" t="s">
        <v>158</v>
      </c>
      <c r="B129" t="s">
        <v>25</v>
      </c>
      <c r="C129" t="str">
        <f t="shared" si="9"/>
        <v>Sales &amp; Marketing</v>
      </c>
      <c r="D129" t="s">
        <v>20</v>
      </c>
      <c r="E129" t="str">
        <f t="shared" si="10"/>
        <v>Dataverse</v>
      </c>
      <c r="F129">
        <v>19</v>
      </c>
      <c r="G129">
        <v>20000</v>
      </c>
      <c r="H129" s="1">
        <v>41157</v>
      </c>
      <c r="I129">
        <v>5</v>
      </c>
      <c r="J129" t="s">
        <v>21</v>
      </c>
      <c r="K129">
        <f t="shared" si="11"/>
        <v>1</v>
      </c>
      <c r="L129">
        <f t="shared" si="12"/>
        <v>5.0000000000000002E-5</v>
      </c>
      <c r="M129" t="b">
        <f t="shared" si="13"/>
        <v>1</v>
      </c>
      <c r="N129" t="b">
        <f t="shared" si="14"/>
        <v>1</v>
      </c>
      <c r="O129" t="s">
        <v>22</v>
      </c>
      <c r="P129">
        <f t="shared" si="15"/>
        <v>0.25</v>
      </c>
      <c r="Q129">
        <f t="shared" si="16"/>
        <v>1</v>
      </c>
      <c r="R129">
        <f t="shared" si="17"/>
        <v>0.55000000000000004</v>
      </c>
    </row>
    <row r="130" spans="1:18">
      <c r="A130" t="s">
        <v>159</v>
      </c>
      <c r="B130" t="s">
        <v>60</v>
      </c>
      <c r="C130" t="str">
        <f t="shared" ref="C130:C193" si="18">TRIM(B130)</f>
        <v>Manufacturing and operations</v>
      </c>
      <c r="D130" t="s">
        <v>27</v>
      </c>
      <c r="E130" t="str">
        <f t="shared" ref="E130:E193" si="19">TRIM(D130)</f>
        <v>Technova</v>
      </c>
      <c r="F130">
        <v>16</v>
      </c>
      <c r="G130">
        <v>40000</v>
      </c>
      <c r="H130" s="1">
        <v>39860</v>
      </c>
      <c r="I130">
        <v>5</v>
      </c>
      <c r="J130" t="s">
        <v>57</v>
      </c>
      <c r="K130">
        <f t="shared" ref="K130:K193" si="20">IF(J130="A", 3, IF(J130="B", 2, 1))</f>
        <v>2</v>
      </c>
      <c r="L130">
        <f t="shared" ref="L130:L193" si="21">K130/G130</f>
        <v>5.0000000000000002E-5</v>
      </c>
      <c r="M130" t="b">
        <f t="shared" ref="M130:M193" si="22">IF(F130&gt;15, TRUE, FALSE)</f>
        <v>1</v>
      </c>
      <c r="N130" t="b">
        <f t="shared" ref="N130:N193" si="23">IF(F130&gt;5, TRUE, FALSE)</f>
        <v>1</v>
      </c>
      <c r="O130" t="s">
        <v>22</v>
      </c>
      <c r="P130">
        <f t="shared" ref="P130:P193" si="24">(L130-MIN(L:L))/(MAX(L:L)-MIN(L:L))</f>
        <v>0.25</v>
      </c>
      <c r="Q130">
        <f t="shared" ref="Q130:Q193" si="25">(I130-1)/4</f>
        <v>1</v>
      </c>
      <c r="R130">
        <f t="shared" ref="R130:R193" si="26">(0.6*P130)+(0.4*Q130)</f>
        <v>0.55000000000000004</v>
      </c>
    </row>
    <row r="131" spans="1:18">
      <c r="A131" t="s">
        <v>160</v>
      </c>
      <c r="B131" t="s">
        <v>60</v>
      </c>
      <c r="C131" t="str">
        <f t="shared" si="18"/>
        <v>Manufacturing and operations</v>
      </c>
      <c r="D131" t="s">
        <v>27</v>
      </c>
      <c r="E131" t="str">
        <f t="shared" si="19"/>
        <v>Technova</v>
      </c>
      <c r="F131">
        <v>13</v>
      </c>
      <c r="G131">
        <v>40000</v>
      </c>
      <c r="H131" s="1">
        <v>41932</v>
      </c>
      <c r="I131">
        <v>5</v>
      </c>
      <c r="J131" t="s">
        <v>57</v>
      </c>
      <c r="K131">
        <f t="shared" si="20"/>
        <v>2</v>
      </c>
      <c r="L131">
        <f t="shared" si="21"/>
        <v>5.0000000000000002E-5</v>
      </c>
      <c r="M131" t="b">
        <f t="shared" si="22"/>
        <v>0</v>
      </c>
      <c r="N131" t="b">
        <f t="shared" si="23"/>
        <v>1</v>
      </c>
      <c r="O131" t="s">
        <v>22</v>
      </c>
      <c r="P131">
        <f t="shared" si="24"/>
        <v>0.25</v>
      </c>
      <c r="Q131">
        <f t="shared" si="25"/>
        <v>1</v>
      </c>
      <c r="R131">
        <f t="shared" si="26"/>
        <v>0.55000000000000004</v>
      </c>
    </row>
    <row r="132" spans="1:18">
      <c r="A132" t="s">
        <v>161</v>
      </c>
      <c r="B132" t="s">
        <v>60</v>
      </c>
      <c r="C132" t="str">
        <f t="shared" si="18"/>
        <v>Manufacturing and operations</v>
      </c>
      <c r="D132" t="s">
        <v>20</v>
      </c>
      <c r="E132" t="str">
        <f t="shared" si="19"/>
        <v>Dataverse</v>
      </c>
      <c r="F132">
        <v>4</v>
      </c>
      <c r="G132">
        <v>40000</v>
      </c>
      <c r="H132" s="1">
        <v>39657</v>
      </c>
      <c r="I132">
        <v>5</v>
      </c>
      <c r="J132" t="s">
        <v>57</v>
      </c>
      <c r="K132">
        <f t="shared" si="20"/>
        <v>2</v>
      </c>
      <c r="L132">
        <f t="shared" si="21"/>
        <v>5.0000000000000002E-5</v>
      </c>
      <c r="M132" t="b">
        <f t="shared" si="22"/>
        <v>0</v>
      </c>
      <c r="N132" t="b">
        <f t="shared" si="23"/>
        <v>0</v>
      </c>
      <c r="O132" t="s">
        <v>22</v>
      </c>
      <c r="P132">
        <f t="shared" si="24"/>
        <v>0.25</v>
      </c>
      <c r="Q132">
        <f t="shared" si="25"/>
        <v>1</v>
      </c>
      <c r="R132">
        <f t="shared" si="26"/>
        <v>0.55000000000000004</v>
      </c>
    </row>
    <row r="133" spans="1:18">
      <c r="A133" t="s">
        <v>162</v>
      </c>
      <c r="B133" t="s">
        <v>25</v>
      </c>
      <c r="C133" t="str">
        <f t="shared" si="18"/>
        <v>Sales &amp; Marketing</v>
      </c>
      <c r="D133" t="s">
        <v>20</v>
      </c>
      <c r="E133" t="str">
        <f t="shared" si="19"/>
        <v>Dataverse</v>
      </c>
      <c r="F133">
        <v>17</v>
      </c>
      <c r="G133">
        <v>20000</v>
      </c>
      <c r="H133" s="1">
        <v>40083</v>
      </c>
      <c r="I133">
        <v>5</v>
      </c>
      <c r="J133" t="s">
        <v>21</v>
      </c>
      <c r="K133">
        <f t="shared" si="20"/>
        <v>1</v>
      </c>
      <c r="L133">
        <f t="shared" si="21"/>
        <v>5.0000000000000002E-5</v>
      </c>
      <c r="M133" t="b">
        <f t="shared" si="22"/>
        <v>1</v>
      </c>
      <c r="N133" t="b">
        <f t="shared" si="23"/>
        <v>1</v>
      </c>
      <c r="O133" t="s">
        <v>22</v>
      </c>
      <c r="P133">
        <f t="shared" si="24"/>
        <v>0.25</v>
      </c>
      <c r="Q133">
        <f t="shared" si="25"/>
        <v>1</v>
      </c>
      <c r="R133">
        <f t="shared" si="26"/>
        <v>0.55000000000000004</v>
      </c>
    </row>
    <row r="134" spans="1:18">
      <c r="A134" t="s">
        <v>163</v>
      </c>
      <c r="B134" t="s">
        <v>67</v>
      </c>
      <c r="C134" t="str">
        <f t="shared" si="18"/>
        <v>Quality Assurance</v>
      </c>
      <c r="D134" t="s">
        <v>27</v>
      </c>
      <c r="E134" t="str">
        <f t="shared" si="19"/>
        <v>Technova</v>
      </c>
      <c r="F134">
        <v>10</v>
      </c>
      <c r="G134">
        <v>40000</v>
      </c>
      <c r="H134" s="1">
        <v>43859</v>
      </c>
      <c r="I134">
        <v>5</v>
      </c>
      <c r="J134" t="s">
        <v>57</v>
      </c>
      <c r="K134">
        <f t="shared" si="20"/>
        <v>2</v>
      </c>
      <c r="L134">
        <f t="shared" si="21"/>
        <v>5.0000000000000002E-5</v>
      </c>
      <c r="M134" t="b">
        <f t="shared" si="22"/>
        <v>0</v>
      </c>
      <c r="N134" t="b">
        <f t="shared" si="23"/>
        <v>1</v>
      </c>
      <c r="O134" t="s">
        <v>22</v>
      </c>
      <c r="P134">
        <f t="shared" si="24"/>
        <v>0.25</v>
      </c>
      <c r="Q134">
        <f t="shared" si="25"/>
        <v>1</v>
      </c>
      <c r="R134">
        <f t="shared" si="26"/>
        <v>0.55000000000000004</v>
      </c>
    </row>
    <row r="135" spans="1:18">
      <c r="A135" t="s">
        <v>164</v>
      </c>
      <c r="B135" t="s">
        <v>67</v>
      </c>
      <c r="C135" t="str">
        <f t="shared" si="18"/>
        <v>Quality Assurance</v>
      </c>
      <c r="D135" t="s">
        <v>27</v>
      </c>
      <c r="E135" t="str">
        <f t="shared" si="19"/>
        <v>Technova</v>
      </c>
      <c r="F135">
        <v>16</v>
      </c>
      <c r="G135">
        <v>40000</v>
      </c>
      <c r="H135" s="1">
        <v>45432</v>
      </c>
      <c r="I135">
        <v>5</v>
      </c>
      <c r="J135" t="s">
        <v>57</v>
      </c>
      <c r="K135">
        <f t="shared" si="20"/>
        <v>2</v>
      </c>
      <c r="L135">
        <f t="shared" si="21"/>
        <v>5.0000000000000002E-5</v>
      </c>
      <c r="M135" t="b">
        <f t="shared" si="22"/>
        <v>1</v>
      </c>
      <c r="N135" t="b">
        <f t="shared" si="23"/>
        <v>1</v>
      </c>
      <c r="O135" t="s">
        <v>22</v>
      </c>
      <c r="P135">
        <f t="shared" si="24"/>
        <v>0.25</v>
      </c>
      <c r="Q135">
        <f t="shared" si="25"/>
        <v>1</v>
      </c>
      <c r="R135">
        <f t="shared" si="26"/>
        <v>0.55000000000000004</v>
      </c>
    </row>
    <row r="136" spans="1:18">
      <c r="A136" t="s">
        <v>165</v>
      </c>
      <c r="B136" t="s">
        <v>19</v>
      </c>
      <c r="C136" t="str">
        <f t="shared" si="18"/>
        <v>Research &amp; Department</v>
      </c>
      <c r="D136" t="s">
        <v>27</v>
      </c>
      <c r="E136" t="str">
        <f t="shared" si="19"/>
        <v>Technova</v>
      </c>
      <c r="F136">
        <v>1</v>
      </c>
      <c r="G136">
        <v>12000</v>
      </c>
      <c r="H136" s="1">
        <v>42337</v>
      </c>
      <c r="I136">
        <v>2</v>
      </c>
      <c r="J136" t="s">
        <v>21</v>
      </c>
      <c r="K136">
        <f t="shared" si="20"/>
        <v>1</v>
      </c>
      <c r="L136">
        <f t="shared" si="21"/>
        <v>8.3333333333333331E-5</v>
      </c>
      <c r="M136" t="b">
        <f t="shared" si="22"/>
        <v>0</v>
      </c>
      <c r="N136" t="b">
        <f t="shared" si="23"/>
        <v>0</v>
      </c>
      <c r="O136" t="s">
        <v>22</v>
      </c>
      <c r="P136">
        <f t="shared" si="24"/>
        <v>0.74999999999999989</v>
      </c>
      <c r="Q136">
        <f t="shared" si="25"/>
        <v>0.25</v>
      </c>
      <c r="R136">
        <f t="shared" si="26"/>
        <v>0.54999999999999993</v>
      </c>
    </row>
    <row r="137" spans="1:18">
      <c r="A137" t="s">
        <v>166</v>
      </c>
      <c r="B137" t="s">
        <v>19</v>
      </c>
      <c r="C137" t="str">
        <f t="shared" si="18"/>
        <v>Research &amp; Department</v>
      </c>
      <c r="D137" t="s">
        <v>27</v>
      </c>
      <c r="E137" t="str">
        <f t="shared" si="19"/>
        <v>Technova</v>
      </c>
      <c r="F137">
        <v>24</v>
      </c>
      <c r="G137">
        <v>12000</v>
      </c>
      <c r="H137" s="1">
        <v>41078</v>
      </c>
      <c r="I137">
        <v>2</v>
      </c>
      <c r="J137" t="s">
        <v>21</v>
      </c>
      <c r="K137">
        <f t="shared" si="20"/>
        <v>1</v>
      </c>
      <c r="L137">
        <f t="shared" si="21"/>
        <v>8.3333333333333331E-5</v>
      </c>
      <c r="M137" t="b">
        <f t="shared" si="22"/>
        <v>1</v>
      </c>
      <c r="N137" t="b">
        <f t="shared" si="23"/>
        <v>1</v>
      </c>
      <c r="O137" t="s">
        <v>22</v>
      </c>
      <c r="P137">
        <f t="shared" si="24"/>
        <v>0.74999999999999989</v>
      </c>
      <c r="Q137">
        <f t="shared" si="25"/>
        <v>0.25</v>
      </c>
      <c r="R137">
        <f t="shared" si="26"/>
        <v>0.54999999999999993</v>
      </c>
    </row>
    <row r="138" spans="1:18">
      <c r="A138" t="s">
        <v>167</v>
      </c>
      <c r="B138" t="s">
        <v>25</v>
      </c>
      <c r="C138" t="str">
        <f t="shared" si="18"/>
        <v>Sales &amp; Marketing</v>
      </c>
      <c r="D138" t="s">
        <v>27</v>
      </c>
      <c r="E138" t="str">
        <f t="shared" si="19"/>
        <v>Technova</v>
      </c>
      <c r="F138">
        <v>4</v>
      </c>
      <c r="G138">
        <v>12000</v>
      </c>
      <c r="H138" s="1">
        <v>42834</v>
      </c>
      <c r="I138">
        <v>2</v>
      </c>
      <c r="J138" t="s">
        <v>21</v>
      </c>
      <c r="K138">
        <f t="shared" si="20"/>
        <v>1</v>
      </c>
      <c r="L138">
        <f t="shared" si="21"/>
        <v>8.3333333333333331E-5</v>
      </c>
      <c r="M138" t="b">
        <f t="shared" si="22"/>
        <v>0</v>
      </c>
      <c r="N138" t="b">
        <f t="shared" si="23"/>
        <v>0</v>
      </c>
      <c r="O138" t="s">
        <v>22</v>
      </c>
      <c r="P138">
        <f t="shared" si="24"/>
        <v>0.74999999999999989</v>
      </c>
      <c r="Q138">
        <f t="shared" si="25"/>
        <v>0.25</v>
      </c>
      <c r="R138">
        <f t="shared" si="26"/>
        <v>0.54999999999999993</v>
      </c>
    </row>
    <row r="139" spans="1:18">
      <c r="A139" t="s">
        <v>168</v>
      </c>
      <c r="B139" t="s">
        <v>60</v>
      </c>
      <c r="C139" t="str">
        <f t="shared" si="18"/>
        <v>Manufacturing and operations</v>
      </c>
      <c r="D139" t="s">
        <v>20</v>
      </c>
      <c r="E139" t="str">
        <f t="shared" si="19"/>
        <v>Dataverse</v>
      </c>
      <c r="F139">
        <v>16</v>
      </c>
      <c r="G139">
        <v>33000</v>
      </c>
      <c r="H139" s="1">
        <v>40070</v>
      </c>
      <c r="I139">
        <v>4</v>
      </c>
      <c r="J139" t="s">
        <v>57</v>
      </c>
      <c r="K139">
        <f t="shared" si="20"/>
        <v>2</v>
      </c>
      <c r="L139">
        <f t="shared" si="21"/>
        <v>6.0606060606060605E-5</v>
      </c>
      <c r="M139" t="b">
        <f t="shared" si="22"/>
        <v>1</v>
      </c>
      <c r="N139" t="b">
        <f t="shared" si="23"/>
        <v>1</v>
      </c>
      <c r="O139" t="s">
        <v>22</v>
      </c>
      <c r="P139">
        <f t="shared" si="24"/>
        <v>0.40909090909090901</v>
      </c>
      <c r="Q139">
        <f t="shared" si="25"/>
        <v>0.75</v>
      </c>
      <c r="R139">
        <f t="shared" si="26"/>
        <v>0.54545454545454541</v>
      </c>
    </row>
    <row r="140" spans="1:18">
      <c r="A140" t="s">
        <v>169</v>
      </c>
      <c r="B140" t="s">
        <v>60</v>
      </c>
      <c r="C140" t="str">
        <f t="shared" si="18"/>
        <v>Manufacturing and operations</v>
      </c>
      <c r="D140" t="s">
        <v>20</v>
      </c>
      <c r="E140" t="str">
        <f t="shared" si="19"/>
        <v>Dataverse</v>
      </c>
      <c r="F140">
        <v>16</v>
      </c>
      <c r="G140">
        <v>33000</v>
      </c>
      <c r="H140" s="1">
        <v>44080</v>
      </c>
      <c r="I140">
        <v>4</v>
      </c>
      <c r="J140" t="s">
        <v>57</v>
      </c>
      <c r="K140">
        <f t="shared" si="20"/>
        <v>2</v>
      </c>
      <c r="L140">
        <f t="shared" si="21"/>
        <v>6.0606060606060605E-5</v>
      </c>
      <c r="M140" t="b">
        <f t="shared" si="22"/>
        <v>1</v>
      </c>
      <c r="N140" t="b">
        <f t="shared" si="23"/>
        <v>1</v>
      </c>
      <c r="O140" t="s">
        <v>22</v>
      </c>
      <c r="P140">
        <f t="shared" si="24"/>
        <v>0.40909090909090901</v>
      </c>
      <c r="Q140">
        <f t="shared" si="25"/>
        <v>0.75</v>
      </c>
      <c r="R140">
        <f t="shared" si="26"/>
        <v>0.54545454545454541</v>
      </c>
    </row>
    <row r="141" spans="1:18">
      <c r="A141" t="s">
        <v>170</v>
      </c>
      <c r="B141" t="s">
        <v>19</v>
      </c>
      <c r="C141" t="str">
        <f t="shared" si="18"/>
        <v>Research &amp; Department</v>
      </c>
      <c r="D141" t="s">
        <v>20</v>
      </c>
      <c r="E141" t="str">
        <f t="shared" si="19"/>
        <v>Dataverse</v>
      </c>
      <c r="F141">
        <v>5</v>
      </c>
      <c r="G141">
        <v>14000</v>
      </c>
      <c r="H141" s="1">
        <v>41333</v>
      </c>
      <c r="I141">
        <v>3</v>
      </c>
      <c r="J141" t="s">
        <v>21</v>
      </c>
      <c r="K141">
        <f t="shared" si="20"/>
        <v>1</v>
      </c>
      <c r="L141">
        <f t="shared" si="21"/>
        <v>7.1428571428571434E-5</v>
      </c>
      <c r="M141" t="b">
        <f t="shared" si="22"/>
        <v>0</v>
      </c>
      <c r="N141" t="b">
        <f t="shared" si="23"/>
        <v>0</v>
      </c>
      <c r="O141" t="s">
        <v>22</v>
      </c>
      <c r="P141">
        <f t="shared" si="24"/>
        <v>0.57142857142857151</v>
      </c>
      <c r="Q141">
        <f t="shared" si="25"/>
        <v>0.5</v>
      </c>
      <c r="R141">
        <f t="shared" si="26"/>
        <v>0.54285714285714293</v>
      </c>
    </row>
    <row r="142" spans="1:18">
      <c r="A142" t="s">
        <v>171</v>
      </c>
      <c r="B142" t="s">
        <v>19</v>
      </c>
      <c r="C142" t="str">
        <f t="shared" si="18"/>
        <v>Research &amp; Department</v>
      </c>
      <c r="D142" t="s">
        <v>20</v>
      </c>
      <c r="E142" t="str">
        <f t="shared" si="19"/>
        <v>Dataverse</v>
      </c>
      <c r="F142">
        <v>15</v>
      </c>
      <c r="G142">
        <v>14000</v>
      </c>
      <c r="H142" s="1">
        <v>38569</v>
      </c>
      <c r="I142">
        <v>3</v>
      </c>
      <c r="J142" t="s">
        <v>21</v>
      </c>
      <c r="K142">
        <f t="shared" si="20"/>
        <v>1</v>
      </c>
      <c r="L142">
        <f t="shared" si="21"/>
        <v>7.1428571428571434E-5</v>
      </c>
      <c r="M142" t="b">
        <f t="shared" si="22"/>
        <v>0</v>
      </c>
      <c r="N142" t="b">
        <f t="shared" si="23"/>
        <v>1</v>
      </c>
      <c r="O142" t="s">
        <v>22</v>
      </c>
      <c r="P142">
        <f t="shared" si="24"/>
        <v>0.57142857142857151</v>
      </c>
      <c r="Q142">
        <f t="shared" si="25"/>
        <v>0.5</v>
      </c>
      <c r="R142">
        <f t="shared" si="26"/>
        <v>0.54285714285714293</v>
      </c>
    </row>
    <row r="143" spans="1:18">
      <c r="A143" t="s">
        <v>172</v>
      </c>
      <c r="B143" t="s">
        <v>19</v>
      </c>
      <c r="C143" t="str">
        <f t="shared" si="18"/>
        <v>Research &amp; Department</v>
      </c>
      <c r="D143" t="s">
        <v>27</v>
      </c>
      <c r="E143" t="str">
        <f t="shared" si="19"/>
        <v>Technova</v>
      </c>
      <c r="F143">
        <v>3</v>
      </c>
      <c r="G143">
        <v>14000</v>
      </c>
      <c r="H143" s="1">
        <v>42550</v>
      </c>
      <c r="I143">
        <v>3</v>
      </c>
      <c r="J143" t="s">
        <v>21</v>
      </c>
      <c r="K143">
        <f t="shared" si="20"/>
        <v>1</v>
      </c>
      <c r="L143">
        <f t="shared" si="21"/>
        <v>7.1428571428571434E-5</v>
      </c>
      <c r="M143" t="b">
        <f t="shared" si="22"/>
        <v>0</v>
      </c>
      <c r="N143" t="b">
        <f t="shared" si="23"/>
        <v>0</v>
      </c>
      <c r="O143" t="s">
        <v>22</v>
      </c>
      <c r="P143">
        <f t="shared" si="24"/>
        <v>0.57142857142857151</v>
      </c>
      <c r="Q143">
        <f t="shared" si="25"/>
        <v>0.5</v>
      </c>
      <c r="R143">
        <f t="shared" si="26"/>
        <v>0.54285714285714293</v>
      </c>
    </row>
    <row r="144" spans="1:18">
      <c r="A144" t="s">
        <v>173</v>
      </c>
      <c r="B144" t="s">
        <v>70</v>
      </c>
      <c r="C144" t="str">
        <f t="shared" si="18"/>
        <v>Customer Experience</v>
      </c>
      <c r="D144" t="s">
        <v>27</v>
      </c>
      <c r="E144" t="str">
        <f t="shared" si="19"/>
        <v>Technova</v>
      </c>
      <c r="F144">
        <v>11</v>
      </c>
      <c r="G144">
        <v>61000</v>
      </c>
      <c r="H144" s="1">
        <v>40671</v>
      </c>
      <c r="I144">
        <v>5</v>
      </c>
      <c r="J144" t="s">
        <v>174</v>
      </c>
      <c r="K144">
        <f t="shared" si="20"/>
        <v>3</v>
      </c>
      <c r="L144">
        <f t="shared" si="21"/>
        <v>4.9180327868852456E-5</v>
      </c>
      <c r="M144" t="b">
        <f t="shared" si="22"/>
        <v>0</v>
      </c>
      <c r="N144" t="b">
        <f t="shared" si="23"/>
        <v>1</v>
      </c>
      <c r="O144" t="s">
        <v>22</v>
      </c>
      <c r="P144">
        <f t="shared" si="24"/>
        <v>0.23770491803278682</v>
      </c>
      <c r="Q144">
        <f t="shared" si="25"/>
        <v>1</v>
      </c>
      <c r="R144">
        <f t="shared" si="26"/>
        <v>0.54262295081967205</v>
      </c>
    </row>
    <row r="145" spans="1:18">
      <c r="A145" t="s">
        <v>175</v>
      </c>
      <c r="B145" t="s">
        <v>70</v>
      </c>
      <c r="C145" t="str">
        <f t="shared" si="18"/>
        <v>Customer Experience</v>
      </c>
      <c r="D145" t="s">
        <v>20</v>
      </c>
      <c r="E145" t="str">
        <f t="shared" si="19"/>
        <v>Dataverse</v>
      </c>
      <c r="F145">
        <v>4</v>
      </c>
      <c r="G145">
        <v>61000</v>
      </c>
      <c r="H145" s="1">
        <v>41086</v>
      </c>
      <c r="I145">
        <v>5</v>
      </c>
      <c r="J145" t="s">
        <v>174</v>
      </c>
      <c r="K145">
        <f t="shared" si="20"/>
        <v>3</v>
      </c>
      <c r="L145">
        <f t="shared" si="21"/>
        <v>4.9180327868852456E-5</v>
      </c>
      <c r="M145" t="b">
        <f t="shared" si="22"/>
        <v>0</v>
      </c>
      <c r="N145" t="b">
        <f t="shared" si="23"/>
        <v>0</v>
      </c>
      <c r="O145" t="s">
        <v>22</v>
      </c>
      <c r="P145">
        <f t="shared" si="24"/>
        <v>0.23770491803278682</v>
      </c>
      <c r="Q145">
        <f t="shared" si="25"/>
        <v>1</v>
      </c>
      <c r="R145">
        <f t="shared" si="26"/>
        <v>0.54262295081967205</v>
      </c>
    </row>
    <row r="146" spans="1:18">
      <c r="A146" t="s">
        <v>176</v>
      </c>
      <c r="B146" t="s">
        <v>70</v>
      </c>
      <c r="C146" t="str">
        <f t="shared" si="18"/>
        <v>Customer Experience</v>
      </c>
      <c r="D146" t="s">
        <v>27</v>
      </c>
      <c r="E146" t="str">
        <f t="shared" si="19"/>
        <v>Technova</v>
      </c>
      <c r="F146">
        <v>25</v>
      </c>
      <c r="G146">
        <v>41000</v>
      </c>
      <c r="H146" s="1">
        <v>40422</v>
      </c>
      <c r="I146">
        <v>5</v>
      </c>
      <c r="J146" t="s">
        <v>57</v>
      </c>
      <c r="K146">
        <f t="shared" si="20"/>
        <v>2</v>
      </c>
      <c r="L146">
        <f t="shared" si="21"/>
        <v>4.8780487804878051E-5</v>
      </c>
      <c r="M146" t="b">
        <f t="shared" si="22"/>
        <v>1</v>
      </c>
      <c r="N146" t="b">
        <f t="shared" si="23"/>
        <v>1</v>
      </c>
      <c r="O146" t="s">
        <v>22</v>
      </c>
      <c r="P146">
        <f t="shared" si="24"/>
        <v>0.23170731707317074</v>
      </c>
      <c r="Q146">
        <f t="shared" si="25"/>
        <v>1</v>
      </c>
      <c r="R146">
        <f t="shared" si="26"/>
        <v>0.53902439024390247</v>
      </c>
    </row>
    <row r="147" spans="1:18">
      <c r="A147" t="s">
        <v>177</v>
      </c>
      <c r="B147" t="s">
        <v>102</v>
      </c>
      <c r="C147" t="str">
        <f t="shared" si="18"/>
        <v>Finance</v>
      </c>
      <c r="D147" t="s">
        <v>20</v>
      </c>
      <c r="E147" t="str">
        <f t="shared" si="19"/>
        <v>Dataverse</v>
      </c>
      <c r="F147">
        <v>4</v>
      </c>
      <c r="G147">
        <v>41000</v>
      </c>
      <c r="H147" s="1">
        <v>43883</v>
      </c>
      <c r="I147">
        <v>5</v>
      </c>
      <c r="J147" t="s">
        <v>57</v>
      </c>
      <c r="K147">
        <f t="shared" si="20"/>
        <v>2</v>
      </c>
      <c r="L147">
        <f t="shared" si="21"/>
        <v>4.8780487804878051E-5</v>
      </c>
      <c r="M147" t="b">
        <f t="shared" si="22"/>
        <v>0</v>
      </c>
      <c r="N147" t="b">
        <f t="shared" si="23"/>
        <v>0</v>
      </c>
      <c r="O147" t="s">
        <v>22</v>
      </c>
      <c r="P147">
        <f t="shared" si="24"/>
        <v>0.23170731707317074</v>
      </c>
      <c r="Q147">
        <f t="shared" si="25"/>
        <v>1</v>
      </c>
      <c r="R147">
        <f t="shared" si="26"/>
        <v>0.53902439024390247</v>
      </c>
    </row>
    <row r="148" spans="1:18">
      <c r="A148" t="s">
        <v>178</v>
      </c>
      <c r="B148" t="s">
        <v>74</v>
      </c>
      <c r="C148" t="str">
        <f t="shared" si="18"/>
        <v>Human Resources</v>
      </c>
      <c r="D148" t="s">
        <v>27</v>
      </c>
      <c r="E148" t="str">
        <f t="shared" si="19"/>
        <v>Technova</v>
      </c>
      <c r="F148">
        <v>12</v>
      </c>
      <c r="G148">
        <v>41000</v>
      </c>
      <c r="H148" s="1">
        <v>40296</v>
      </c>
      <c r="I148">
        <v>5</v>
      </c>
      <c r="J148" t="s">
        <v>57</v>
      </c>
      <c r="K148">
        <f t="shared" si="20"/>
        <v>2</v>
      </c>
      <c r="L148">
        <f t="shared" si="21"/>
        <v>4.8780487804878051E-5</v>
      </c>
      <c r="M148" t="b">
        <f t="shared" si="22"/>
        <v>0</v>
      </c>
      <c r="N148" t="b">
        <f t="shared" si="23"/>
        <v>1</v>
      </c>
      <c r="O148" t="s">
        <v>22</v>
      </c>
      <c r="P148">
        <f t="shared" si="24"/>
        <v>0.23170731707317074</v>
      </c>
      <c r="Q148">
        <f t="shared" si="25"/>
        <v>1</v>
      </c>
      <c r="R148">
        <f t="shared" si="26"/>
        <v>0.53902439024390247</v>
      </c>
    </row>
    <row r="149" spans="1:18">
      <c r="A149" t="s">
        <v>179</v>
      </c>
      <c r="B149" t="s">
        <v>74</v>
      </c>
      <c r="C149" t="str">
        <f t="shared" si="18"/>
        <v>Human Resources</v>
      </c>
      <c r="D149" t="s">
        <v>20</v>
      </c>
      <c r="E149" t="str">
        <f t="shared" si="19"/>
        <v>Dataverse</v>
      </c>
      <c r="F149">
        <v>6</v>
      </c>
      <c r="G149">
        <v>41000</v>
      </c>
      <c r="H149" s="1">
        <v>45121</v>
      </c>
      <c r="I149">
        <v>5</v>
      </c>
      <c r="J149" t="s">
        <v>57</v>
      </c>
      <c r="K149">
        <f t="shared" si="20"/>
        <v>2</v>
      </c>
      <c r="L149">
        <f t="shared" si="21"/>
        <v>4.8780487804878051E-5</v>
      </c>
      <c r="M149" t="b">
        <f t="shared" si="22"/>
        <v>0</v>
      </c>
      <c r="N149" t="b">
        <f t="shared" si="23"/>
        <v>1</v>
      </c>
      <c r="O149" t="s">
        <v>22</v>
      </c>
      <c r="P149">
        <f t="shared" si="24"/>
        <v>0.23170731707317074</v>
      </c>
      <c r="Q149">
        <f t="shared" si="25"/>
        <v>1</v>
      </c>
      <c r="R149">
        <f t="shared" si="26"/>
        <v>0.53902439024390247</v>
      </c>
    </row>
    <row r="150" spans="1:18">
      <c r="A150" t="s">
        <v>180</v>
      </c>
      <c r="B150" t="s">
        <v>60</v>
      </c>
      <c r="C150" t="str">
        <f t="shared" si="18"/>
        <v>Manufacturing and operations</v>
      </c>
      <c r="D150" t="s">
        <v>27</v>
      </c>
      <c r="E150" t="str">
        <f t="shared" si="19"/>
        <v>Technova</v>
      </c>
      <c r="F150">
        <v>10</v>
      </c>
      <c r="G150">
        <v>41000</v>
      </c>
      <c r="H150" s="1">
        <v>43391</v>
      </c>
      <c r="I150">
        <v>5</v>
      </c>
      <c r="J150" t="s">
        <v>57</v>
      </c>
      <c r="K150">
        <f t="shared" si="20"/>
        <v>2</v>
      </c>
      <c r="L150">
        <f t="shared" si="21"/>
        <v>4.8780487804878051E-5</v>
      </c>
      <c r="M150" t="b">
        <f t="shared" si="22"/>
        <v>0</v>
      </c>
      <c r="N150" t="b">
        <f t="shared" si="23"/>
        <v>1</v>
      </c>
      <c r="O150" t="s">
        <v>22</v>
      </c>
      <c r="P150">
        <f t="shared" si="24"/>
        <v>0.23170731707317074</v>
      </c>
      <c r="Q150">
        <f t="shared" si="25"/>
        <v>1</v>
      </c>
      <c r="R150">
        <f t="shared" si="26"/>
        <v>0.53902439024390247</v>
      </c>
    </row>
    <row r="151" spans="1:18">
      <c r="A151" t="s">
        <v>181</v>
      </c>
      <c r="B151" t="s">
        <v>60</v>
      </c>
      <c r="C151" t="str">
        <f t="shared" si="18"/>
        <v>Manufacturing and operations</v>
      </c>
      <c r="D151" t="s">
        <v>27</v>
      </c>
      <c r="E151" t="str">
        <f t="shared" si="19"/>
        <v>Technova</v>
      </c>
      <c r="F151">
        <v>8</v>
      </c>
      <c r="G151">
        <v>41000</v>
      </c>
      <c r="H151" s="1">
        <v>42140</v>
      </c>
      <c r="I151">
        <v>5</v>
      </c>
      <c r="J151" t="s">
        <v>57</v>
      </c>
      <c r="K151">
        <f t="shared" si="20"/>
        <v>2</v>
      </c>
      <c r="L151">
        <f t="shared" si="21"/>
        <v>4.8780487804878051E-5</v>
      </c>
      <c r="M151" t="b">
        <f t="shared" si="22"/>
        <v>0</v>
      </c>
      <c r="N151" t="b">
        <f t="shared" si="23"/>
        <v>1</v>
      </c>
      <c r="O151" t="s">
        <v>22</v>
      </c>
      <c r="P151">
        <f t="shared" si="24"/>
        <v>0.23170731707317074</v>
      </c>
      <c r="Q151">
        <f t="shared" si="25"/>
        <v>1</v>
      </c>
      <c r="R151">
        <f t="shared" si="26"/>
        <v>0.53902439024390247</v>
      </c>
    </row>
    <row r="152" spans="1:18">
      <c r="A152" t="s">
        <v>182</v>
      </c>
      <c r="B152" t="s">
        <v>60</v>
      </c>
      <c r="C152" t="str">
        <f t="shared" si="18"/>
        <v>Manufacturing and operations</v>
      </c>
      <c r="D152" t="s">
        <v>27</v>
      </c>
      <c r="E152" t="str">
        <f t="shared" si="19"/>
        <v>Technova</v>
      </c>
      <c r="F152">
        <v>7</v>
      </c>
      <c r="G152">
        <v>41000</v>
      </c>
      <c r="H152" s="1">
        <v>39045</v>
      </c>
      <c r="I152">
        <v>5</v>
      </c>
      <c r="J152" t="s">
        <v>57</v>
      </c>
      <c r="K152">
        <f t="shared" si="20"/>
        <v>2</v>
      </c>
      <c r="L152">
        <f t="shared" si="21"/>
        <v>4.8780487804878051E-5</v>
      </c>
      <c r="M152" t="b">
        <f t="shared" si="22"/>
        <v>0</v>
      </c>
      <c r="N152" t="b">
        <f t="shared" si="23"/>
        <v>1</v>
      </c>
      <c r="O152" t="s">
        <v>22</v>
      </c>
      <c r="P152">
        <f t="shared" si="24"/>
        <v>0.23170731707317074</v>
      </c>
      <c r="Q152">
        <f t="shared" si="25"/>
        <v>1</v>
      </c>
      <c r="R152">
        <f t="shared" si="26"/>
        <v>0.53902439024390247</v>
      </c>
    </row>
    <row r="153" spans="1:18">
      <c r="A153" t="s">
        <v>183</v>
      </c>
      <c r="B153" t="s">
        <v>60</v>
      </c>
      <c r="C153" t="str">
        <f t="shared" si="18"/>
        <v>Manufacturing and operations</v>
      </c>
      <c r="D153" t="s">
        <v>27</v>
      </c>
      <c r="E153" t="str">
        <f t="shared" si="19"/>
        <v>Technova</v>
      </c>
      <c r="F153">
        <v>14</v>
      </c>
      <c r="G153">
        <v>41000</v>
      </c>
      <c r="H153" s="1">
        <v>39746</v>
      </c>
      <c r="I153">
        <v>5</v>
      </c>
      <c r="J153" t="s">
        <v>57</v>
      </c>
      <c r="K153">
        <f t="shared" si="20"/>
        <v>2</v>
      </c>
      <c r="L153">
        <f t="shared" si="21"/>
        <v>4.8780487804878051E-5</v>
      </c>
      <c r="M153" t="b">
        <f t="shared" si="22"/>
        <v>0</v>
      </c>
      <c r="N153" t="b">
        <f t="shared" si="23"/>
        <v>1</v>
      </c>
      <c r="O153" t="s">
        <v>22</v>
      </c>
      <c r="P153">
        <f t="shared" si="24"/>
        <v>0.23170731707317074</v>
      </c>
      <c r="Q153">
        <f t="shared" si="25"/>
        <v>1</v>
      </c>
      <c r="R153">
        <f t="shared" si="26"/>
        <v>0.53902439024390247</v>
      </c>
    </row>
    <row r="154" spans="1:18">
      <c r="A154" t="s">
        <v>184</v>
      </c>
      <c r="B154" t="s">
        <v>60</v>
      </c>
      <c r="C154" t="str">
        <f t="shared" si="18"/>
        <v>Manufacturing and operations</v>
      </c>
      <c r="D154" t="s">
        <v>20</v>
      </c>
      <c r="E154" t="str">
        <f t="shared" si="19"/>
        <v>Dataverse</v>
      </c>
      <c r="F154">
        <v>9</v>
      </c>
      <c r="G154">
        <v>41000</v>
      </c>
      <c r="H154" s="1">
        <v>41361</v>
      </c>
      <c r="I154">
        <v>5</v>
      </c>
      <c r="J154" t="s">
        <v>57</v>
      </c>
      <c r="K154">
        <f t="shared" si="20"/>
        <v>2</v>
      </c>
      <c r="L154">
        <f t="shared" si="21"/>
        <v>4.8780487804878051E-5</v>
      </c>
      <c r="M154" t="b">
        <f t="shared" si="22"/>
        <v>0</v>
      </c>
      <c r="N154" t="b">
        <f t="shared" si="23"/>
        <v>1</v>
      </c>
      <c r="O154" t="s">
        <v>22</v>
      </c>
      <c r="P154">
        <f t="shared" si="24"/>
        <v>0.23170731707317074</v>
      </c>
      <c r="Q154">
        <f t="shared" si="25"/>
        <v>1</v>
      </c>
      <c r="R154">
        <f t="shared" si="26"/>
        <v>0.53902439024390247</v>
      </c>
    </row>
    <row r="155" spans="1:18">
      <c r="A155" t="s">
        <v>185</v>
      </c>
      <c r="B155" t="s">
        <v>67</v>
      </c>
      <c r="C155" t="str">
        <f t="shared" si="18"/>
        <v>Quality Assurance</v>
      </c>
      <c r="D155" t="s">
        <v>20</v>
      </c>
      <c r="E155" t="str">
        <f t="shared" si="19"/>
        <v>Dataverse</v>
      </c>
      <c r="F155">
        <v>6</v>
      </c>
      <c r="G155">
        <v>41000</v>
      </c>
      <c r="H155" s="1">
        <v>42785</v>
      </c>
      <c r="I155">
        <v>5</v>
      </c>
      <c r="J155" t="s">
        <v>57</v>
      </c>
      <c r="K155">
        <f t="shared" si="20"/>
        <v>2</v>
      </c>
      <c r="L155">
        <f t="shared" si="21"/>
        <v>4.8780487804878051E-5</v>
      </c>
      <c r="M155" t="b">
        <f t="shared" si="22"/>
        <v>0</v>
      </c>
      <c r="N155" t="b">
        <f t="shared" si="23"/>
        <v>1</v>
      </c>
      <c r="O155" t="s">
        <v>22</v>
      </c>
      <c r="P155">
        <f t="shared" si="24"/>
        <v>0.23170731707317074</v>
      </c>
      <c r="Q155">
        <f t="shared" si="25"/>
        <v>1</v>
      </c>
      <c r="R155">
        <f t="shared" si="26"/>
        <v>0.53902439024390247</v>
      </c>
    </row>
    <row r="156" spans="1:18">
      <c r="A156" t="s">
        <v>186</v>
      </c>
      <c r="B156" t="s">
        <v>102</v>
      </c>
      <c r="C156" t="str">
        <f t="shared" si="18"/>
        <v>Finance</v>
      </c>
      <c r="D156" t="s">
        <v>27</v>
      </c>
      <c r="E156" t="str">
        <f t="shared" si="19"/>
        <v>Technova</v>
      </c>
      <c r="F156">
        <v>23</v>
      </c>
      <c r="G156">
        <v>34000</v>
      </c>
      <c r="H156" s="1">
        <v>40822</v>
      </c>
      <c r="I156">
        <v>4</v>
      </c>
      <c r="J156" t="s">
        <v>57</v>
      </c>
      <c r="K156">
        <f t="shared" si="20"/>
        <v>2</v>
      </c>
      <c r="L156">
        <f t="shared" si="21"/>
        <v>5.8823529411764708E-5</v>
      </c>
      <c r="M156" t="b">
        <f t="shared" si="22"/>
        <v>1</v>
      </c>
      <c r="N156" t="b">
        <f t="shared" si="23"/>
        <v>1</v>
      </c>
      <c r="O156" t="s">
        <v>22</v>
      </c>
      <c r="P156">
        <f t="shared" si="24"/>
        <v>0.38235294117647056</v>
      </c>
      <c r="Q156">
        <f t="shared" si="25"/>
        <v>0.75</v>
      </c>
      <c r="R156">
        <f t="shared" si="26"/>
        <v>0.52941176470588236</v>
      </c>
    </row>
    <row r="157" spans="1:18">
      <c r="A157" t="s">
        <v>187</v>
      </c>
      <c r="B157" t="s">
        <v>74</v>
      </c>
      <c r="C157" t="str">
        <f t="shared" si="18"/>
        <v>Human Resources</v>
      </c>
      <c r="D157" t="s">
        <v>20</v>
      </c>
      <c r="E157" t="str">
        <f t="shared" si="19"/>
        <v>Dataverse</v>
      </c>
      <c r="F157">
        <v>2</v>
      </c>
      <c r="G157">
        <v>34000</v>
      </c>
      <c r="H157" s="1">
        <v>44968</v>
      </c>
      <c r="I157">
        <v>4</v>
      </c>
      <c r="J157" t="s">
        <v>57</v>
      </c>
      <c r="K157">
        <f t="shared" si="20"/>
        <v>2</v>
      </c>
      <c r="L157">
        <f t="shared" si="21"/>
        <v>5.8823529411764708E-5</v>
      </c>
      <c r="M157" t="b">
        <f t="shared" si="22"/>
        <v>0</v>
      </c>
      <c r="N157" t="b">
        <f t="shared" si="23"/>
        <v>0</v>
      </c>
      <c r="O157" t="s">
        <v>22</v>
      </c>
      <c r="P157">
        <f t="shared" si="24"/>
        <v>0.38235294117647056</v>
      </c>
      <c r="Q157">
        <f t="shared" si="25"/>
        <v>0.75</v>
      </c>
      <c r="R157">
        <f t="shared" si="26"/>
        <v>0.52941176470588236</v>
      </c>
    </row>
    <row r="158" spans="1:18">
      <c r="A158" t="s">
        <v>188</v>
      </c>
      <c r="B158" t="s">
        <v>56</v>
      </c>
      <c r="C158" t="str">
        <f t="shared" si="18"/>
        <v>IT &amp; Systems</v>
      </c>
      <c r="D158" t="s">
        <v>20</v>
      </c>
      <c r="E158" t="str">
        <f t="shared" si="19"/>
        <v>Dataverse</v>
      </c>
      <c r="F158">
        <v>24</v>
      </c>
      <c r="G158">
        <v>34000</v>
      </c>
      <c r="H158" s="1">
        <v>45138</v>
      </c>
      <c r="I158">
        <v>4</v>
      </c>
      <c r="J158" t="s">
        <v>57</v>
      </c>
      <c r="K158">
        <f t="shared" si="20"/>
        <v>2</v>
      </c>
      <c r="L158">
        <f t="shared" si="21"/>
        <v>5.8823529411764708E-5</v>
      </c>
      <c r="M158" t="b">
        <f t="shared" si="22"/>
        <v>1</v>
      </c>
      <c r="N158" t="b">
        <f t="shared" si="23"/>
        <v>1</v>
      </c>
      <c r="O158" t="s">
        <v>22</v>
      </c>
      <c r="P158">
        <f t="shared" si="24"/>
        <v>0.38235294117647056</v>
      </c>
      <c r="Q158">
        <f t="shared" si="25"/>
        <v>0.75</v>
      </c>
      <c r="R158">
        <f t="shared" si="26"/>
        <v>0.52941176470588236</v>
      </c>
    </row>
    <row r="159" spans="1:18">
      <c r="A159" t="s">
        <v>189</v>
      </c>
      <c r="B159" t="s">
        <v>56</v>
      </c>
      <c r="C159" t="str">
        <f t="shared" si="18"/>
        <v>IT &amp; Systems</v>
      </c>
      <c r="D159" t="s">
        <v>27</v>
      </c>
      <c r="E159" t="str">
        <f t="shared" si="19"/>
        <v>Technova</v>
      </c>
      <c r="F159">
        <v>15</v>
      </c>
      <c r="G159">
        <v>34000</v>
      </c>
      <c r="H159" s="1">
        <v>43692</v>
      </c>
      <c r="I159">
        <v>4</v>
      </c>
      <c r="J159" t="s">
        <v>57</v>
      </c>
      <c r="K159">
        <f t="shared" si="20"/>
        <v>2</v>
      </c>
      <c r="L159">
        <f t="shared" si="21"/>
        <v>5.8823529411764708E-5</v>
      </c>
      <c r="M159" t="b">
        <f t="shared" si="22"/>
        <v>0</v>
      </c>
      <c r="N159" t="b">
        <f t="shared" si="23"/>
        <v>1</v>
      </c>
      <c r="O159" t="s">
        <v>22</v>
      </c>
      <c r="P159">
        <f t="shared" si="24"/>
        <v>0.38235294117647056</v>
      </c>
      <c r="Q159">
        <f t="shared" si="25"/>
        <v>0.75</v>
      </c>
      <c r="R159">
        <f t="shared" si="26"/>
        <v>0.52941176470588236</v>
      </c>
    </row>
    <row r="160" spans="1:18">
      <c r="A160" t="s">
        <v>190</v>
      </c>
      <c r="B160" t="s">
        <v>56</v>
      </c>
      <c r="C160" t="str">
        <f t="shared" si="18"/>
        <v>IT &amp; Systems</v>
      </c>
      <c r="D160" t="s">
        <v>27</v>
      </c>
      <c r="E160" t="str">
        <f t="shared" si="19"/>
        <v>Technova</v>
      </c>
      <c r="F160">
        <v>20</v>
      </c>
      <c r="G160">
        <v>34000</v>
      </c>
      <c r="H160" s="1">
        <v>43770</v>
      </c>
      <c r="I160">
        <v>4</v>
      </c>
      <c r="J160" t="s">
        <v>57</v>
      </c>
      <c r="K160">
        <f t="shared" si="20"/>
        <v>2</v>
      </c>
      <c r="L160">
        <f t="shared" si="21"/>
        <v>5.8823529411764708E-5</v>
      </c>
      <c r="M160" t="b">
        <f t="shared" si="22"/>
        <v>1</v>
      </c>
      <c r="N160" t="b">
        <f t="shared" si="23"/>
        <v>1</v>
      </c>
      <c r="O160" t="s">
        <v>22</v>
      </c>
      <c r="P160">
        <f t="shared" si="24"/>
        <v>0.38235294117647056</v>
      </c>
      <c r="Q160">
        <f t="shared" si="25"/>
        <v>0.75</v>
      </c>
      <c r="R160">
        <f t="shared" si="26"/>
        <v>0.52941176470588236</v>
      </c>
    </row>
    <row r="161" spans="1:18">
      <c r="A161" t="s">
        <v>191</v>
      </c>
      <c r="B161" t="s">
        <v>19</v>
      </c>
      <c r="C161" t="str">
        <f t="shared" si="18"/>
        <v>Research &amp; Department</v>
      </c>
      <c r="D161" t="s">
        <v>20</v>
      </c>
      <c r="E161" t="str">
        <f t="shared" si="19"/>
        <v>Dataverse</v>
      </c>
      <c r="F161">
        <v>16</v>
      </c>
      <c r="G161">
        <v>17000</v>
      </c>
      <c r="H161" s="1">
        <v>40433</v>
      </c>
      <c r="I161">
        <v>4</v>
      </c>
      <c r="J161" t="s">
        <v>21</v>
      </c>
      <c r="K161">
        <f t="shared" si="20"/>
        <v>1</v>
      </c>
      <c r="L161">
        <f t="shared" si="21"/>
        <v>5.8823529411764708E-5</v>
      </c>
      <c r="M161" t="b">
        <f t="shared" si="22"/>
        <v>1</v>
      </c>
      <c r="N161" t="b">
        <f t="shared" si="23"/>
        <v>1</v>
      </c>
      <c r="O161" t="s">
        <v>22</v>
      </c>
      <c r="P161">
        <f t="shared" si="24"/>
        <v>0.38235294117647056</v>
      </c>
      <c r="Q161">
        <f t="shared" si="25"/>
        <v>0.75</v>
      </c>
      <c r="R161">
        <f t="shared" si="26"/>
        <v>0.52941176470588236</v>
      </c>
    </row>
    <row r="162" spans="1:18">
      <c r="A162" t="s">
        <v>192</v>
      </c>
      <c r="B162" t="s">
        <v>60</v>
      </c>
      <c r="C162" t="str">
        <f t="shared" si="18"/>
        <v>Manufacturing and operations</v>
      </c>
      <c r="D162" t="s">
        <v>27</v>
      </c>
      <c r="E162" t="str">
        <f t="shared" si="19"/>
        <v>Technova</v>
      </c>
      <c r="F162">
        <v>20</v>
      </c>
      <c r="G162">
        <v>34000</v>
      </c>
      <c r="H162" s="1">
        <v>41405</v>
      </c>
      <c r="I162">
        <v>4</v>
      </c>
      <c r="J162" t="s">
        <v>57</v>
      </c>
      <c r="K162">
        <f t="shared" si="20"/>
        <v>2</v>
      </c>
      <c r="L162">
        <f t="shared" si="21"/>
        <v>5.8823529411764708E-5</v>
      </c>
      <c r="M162" t="b">
        <f t="shared" si="22"/>
        <v>1</v>
      </c>
      <c r="N162" t="b">
        <f t="shared" si="23"/>
        <v>1</v>
      </c>
      <c r="O162" t="s">
        <v>22</v>
      </c>
      <c r="P162">
        <f t="shared" si="24"/>
        <v>0.38235294117647056</v>
      </c>
      <c r="Q162">
        <f t="shared" si="25"/>
        <v>0.75</v>
      </c>
      <c r="R162">
        <f t="shared" si="26"/>
        <v>0.52941176470588236</v>
      </c>
    </row>
    <row r="163" spans="1:18">
      <c r="A163" t="s">
        <v>193</v>
      </c>
      <c r="B163" t="s">
        <v>102</v>
      </c>
      <c r="C163" t="str">
        <f t="shared" si="18"/>
        <v>Finance</v>
      </c>
      <c r="D163" t="s">
        <v>27</v>
      </c>
      <c r="E163" t="str">
        <f t="shared" si="19"/>
        <v>Technova</v>
      </c>
      <c r="F163">
        <v>13</v>
      </c>
      <c r="G163">
        <v>42000</v>
      </c>
      <c r="H163" s="1">
        <v>44017</v>
      </c>
      <c r="I163">
        <v>5</v>
      </c>
      <c r="J163" t="s">
        <v>57</v>
      </c>
      <c r="K163">
        <f t="shared" si="20"/>
        <v>2</v>
      </c>
      <c r="L163">
        <f t="shared" si="21"/>
        <v>4.761904761904762E-5</v>
      </c>
      <c r="M163" t="b">
        <f t="shared" si="22"/>
        <v>0</v>
      </c>
      <c r="N163" t="b">
        <f t="shared" si="23"/>
        <v>1</v>
      </c>
      <c r="O163" t="s">
        <v>22</v>
      </c>
      <c r="P163">
        <f t="shared" si="24"/>
        <v>0.21428571428571427</v>
      </c>
      <c r="Q163">
        <f t="shared" si="25"/>
        <v>1</v>
      </c>
      <c r="R163">
        <f t="shared" si="26"/>
        <v>0.52857142857142858</v>
      </c>
    </row>
    <row r="164" spans="1:18">
      <c r="A164" t="s">
        <v>194</v>
      </c>
      <c r="B164" t="s">
        <v>74</v>
      </c>
      <c r="C164" t="str">
        <f t="shared" si="18"/>
        <v>Human Resources</v>
      </c>
      <c r="D164" t="s">
        <v>27</v>
      </c>
      <c r="E164" t="str">
        <f t="shared" si="19"/>
        <v>Technova</v>
      </c>
      <c r="F164">
        <v>19</v>
      </c>
      <c r="G164">
        <v>42000</v>
      </c>
      <c r="H164" s="1">
        <v>43273</v>
      </c>
      <c r="I164">
        <v>5</v>
      </c>
      <c r="J164" t="s">
        <v>57</v>
      </c>
      <c r="K164">
        <f t="shared" si="20"/>
        <v>2</v>
      </c>
      <c r="L164">
        <f t="shared" si="21"/>
        <v>4.761904761904762E-5</v>
      </c>
      <c r="M164" t="b">
        <f t="shared" si="22"/>
        <v>1</v>
      </c>
      <c r="N164" t="b">
        <f t="shared" si="23"/>
        <v>1</v>
      </c>
      <c r="O164" t="s">
        <v>22</v>
      </c>
      <c r="P164">
        <f t="shared" si="24"/>
        <v>0.21428571428571427</v>
      </c>
      <c r="Q164">
        <f t="shared" si="25"/>
        <v>1</v>
      </c>
      <c r="R164">
        <f t="shared" si="26"/>
        <v>0.52857142857142858</v>
      </c>
    </row>
    <row r="165" spans="1:18">
      <c r="A165" t="s">
        <v>195</v>
      </c>
      <c r="B165" t="s">
        <v>56</v>
      </c>
      <c r="C165" t="str">
        <f t="shared" si="18"/>
        <v>IT &amp; Systems</v>
      </c>
      <c r="D165" t="s">
        <v>27</v>
      </c>
      <c r="E165" t="str">
        <f t="shared" si="19"/>
        <v>Technova</v>
      </c>
      <c r="F165">
        <v>12</v>
      </c>
      <c r="G165">
        <v>42000</v>
      </c>
      <c r="H165" s="1">
        <v>39221</v>
      </c>
      <c r="I165">
        <v>5</v>
      </c>
      <c r="J165" t="s">
        <v>57</v>
      </c>
      <c r="K165">
        <f t="shared" si="20"/>
        <v>2</v>
      </c>
      <c r="L165">
        <f t="shared" si="21"/>
        <v>4.761904761904762E-5</v>
      </c>
      <c r="M165" t="b">
        <f t="shared" si="22"/>
        <v>0</v>
      </c>
      <c r="N165" t="b">
        <f t="shared" si="23"/>
        <v>1</v>
      </c>
      <c r="O165" t="s">
        <v>22</v>
      </c>
      <c r="P165">
        <f t="shared" si="24"/>
        <v>0.21428571428571427</v>
      </c>
      <c r="Q165">
        <f t="shared" si="25"/>
        <v>1</v>
      </c>
      <c r="R165">
        <f t="shared" si="26"/>
        <v>0.52857142857142858</v>
      </c>
    </row>
    <row r="166" spans="1:18">
      <c r="A166" t="s">
        <v>196</v>
      </c>
      <c r="B166" t="s">
        <v>19</v>
      </c>
      <c r="C166" t="str">
        <f t="shared" si="18"/>
        <v>Research &amp; Department</v>
      </c>
      <c r="D166" t="s">
        <v>27</v>
      </c>
      <c r="E166" t="str">
        <f t="shared" si="19"/>
        <v>Technova</v>
      </c>
      <c r="F166">
        <v>24</v>
      </c>
      <c r="G166">
        <v>21000</v>
      </c>
      <c r="H166" s="1">
        <v>43795</v>
      </c>
      <c r="I166">
        <v>5</v>
      </c>
      <c r="J166" t="s">
        <v>21</v>
      </c>
      <c r="K166">
        <f t="shared" si="20"/>
        <v>1</v>
      </c>
      <c r="L166">
        <f t="shared" si="21"/>
        <v>4.761904761904762E-5</v>
      </c>
      <c r="M166" t="b">
        <f t="shared" si="22"/>
        <v>1</v>
      </c>
      <c r="N166" t="b">
        <f t="shared" si="23"/>
        <v>1</v>
      </c>
      <c r="O166" t="s">
        <v>22</v>
      </c>
      <c r="P166">
        <f t="shared" si="24"/>
        <v>0.21428571428571427</v>
      </c>
      <c r="Q166">
        <f t="shared" si="25"/>
        <v>1</v>
      </c>
      <c r="R166">
        <f t="shared" si="26"/>
        <v>0.52857142857142858</v>
      </c>
    </row>
    <row r="167" spans="1:18">
      <c r="A167" t="s">
        <v>197</v>
      </c>
      <c r="B167" t="s">
        <v>25</v>
      </c>
      <c r="C167" t="str">
        <f t="shared" si="18"/>
        <v>Sales &amp; Marketing</v>
      </c>
      <c r="D167" t="s">
        <v>20</v>
      </c>
      <c r="E167" t="str">
        <f t="shared" si="19"/>
        <v>Dataverse</v>
      </c>
      <c r="F167">
        <v>12</v>
      </c>
      <c r="G167">
        <v>21000</v>
      </c>
      <c r="H167" s="1">
        <v>45431</v>
      </c>
      <c r="I167">
        <v>5</v>
      </c>
      <c r="J167" t="s">
        <v>21</v>
      </c>
      <c r="K167">
        <f t="shared" si="20"/>
        <v>1</v>
      </c>
      <c r="L167">
        <f t="shared" si="21"/>
        <v>4.761904761904762E-5</v>
      </c>
      <c r="M167" t="b">
        <f t="shared" si="22"/>
        <v>0</v>
      </c>
      <c r="N167" t="b">
        <f t="shared" si="23"/>
        <v>1</v>
      </c>
      <c r="O167" t="s">
        <v>22</v>
      </c>
      <c r="P167">
        <f t="shared" si="24"/>
        <v>0.21428571428571427</v>
      </c>
      <c r="Q167">
        <f t="shared" si="25"/>
        <v>1</v>
      </c>
      <c r="R167">
        <f t="shared" si="26"/>
        <v>0.52857142857142858</v>
      </c>
    </row>
    <row r="168" spans="1:18">
      <c r="A168" t="s">
        <v>198</v>
      </c>
      <c r="B168" t="s">
        <v>60</v>
      </c>
      <c r="C168" t="str">
        <f t="shared" si="18"/>
        <v>Manufacturing and operations</v>
      </c>
      <c r="D168" t="s">
        <v>27</v>
      </c>
      <c r="E168" t="str">
        <f t="shared" si="19"/>
        <v>Technova</v>
      </c>
      <c r="F168">
        <v>19</v>
      </c>
      <c r="G168">
        <v>42000</v>
      </c>
      <c r="H168" s="1">
        <v>40524</v>
      </c>
      <c r="I168">
        <v>5</v>
      </c>
      <c r="J168" t="s">
        <v>57</v>
      </c>
      <c r="K168">
        <f t="shared" si="20"/>
        <v>2</v>
      </c>
      <c r="L168">
        <f t="shared" si="21"/>
        <v>4.761904761904762E-5</v>
      </c>
      <c r="M168" t="b">
        <f t="shared" si="22"/>
        <v>1</v>
      </c>
      <c r="N168" t="b">
        <f t="shared" si="23"/>
        <v>1</v>
      </c>
      <c r="O168" t="s">
        <v>22</v>
      </c>
      <c r="P168">
        <f t="shared" si="24"/>
        <v>0.21428571428571427</v>
      </c>
      <c r="Q168">
        <f t="shared" si="25"/>
        <v>1</v>
      </c>
      <c r="R168">
        <f t="shared" si="26"/>
        <v>0.52857142857142858</v>
      </c>
    </row>
    <row r="169" spans="1:18">
      <c r="A169" t="s">
        <v>199</v>
      </c>
      <c r="B169" t="s">
        <v>25</v>
      </c>
      <c r="C169" t="str">
        <f t="shared" si="18"/>
        <v>Sales &amp; Marketing</v>
      </c>
      <c r="D169" t="s">
        <v>27</v>
      </c>
      <c r="E169" t="str">
        <f t="shared" si="19"/>
        <v>Technova</v>
      </c>
      <c r="F169">
        <v>17</v>
      </c>
      <c r="G169">
        <v>21000</v>
      </c>
      <c r="H169" s="1">
        <v>41905</v>
      </c>
      <c r="I169">
        <v>5</v>
      </c>
      <c r="J169" t="s">
        <v>21</v>
      </c>
      <c r="K169">
        <f t="shared" si="20"/>
        <v>1</v>
      </c>
      <c r="L169">
        <f t="shared" si="21"/>
        <v>4.761904761904762E-5</v>
      </c>
      <c r="M169" t="b">
        <f t="shared" si="22"/>
        <v>1</v>
      </c>
      <c r="N169" t="b">
        <f t="shared" si="23"/>
        <v>1</v>
      </c>
      <c r="O169" t="s">
        <v>22</v>
      </c>
      <c r="P169">
        <f t="shared" si="24"/>
        <v>0.21428571428571427</v>
      </c>
      <c r="Q169">
        <f t="shared" si="25"/>
        <v>1</v>
      </c>
      <c r="R169">
        <f t="shared" si="26"/>
        <v>0.52857142857142858</v>
      </c>
    </row>
    <row r="170" spans="1:18">
      <c r="A170" t="s">
        <v>200</v>
      </c>
      <c r="B170" t="s">
        <v>60</v>
      </c>
      <c r="C170" t="str">
        <f t="shared" si="18"/>
        <v>Manufacturing and operations</v>
      </c>
      <c r="D170" t="s">
        <v>20</v>
      </c>
      <c r="E170" t="str">
        <f t="shared" si="19"/>
        <v>Dataverse</v>
      </c>
      <c r="F170">
        <v>20</v>
      </c>
      <c r="G170">
        <v>42000</v>
      </c>
      <c r="H170" s="1">
        <v>39010</v>
      </c>
      <c r="I170">
        <v>5</v>
      </c>
      <c r="J170" t="s">
        <v>57</v>
      </c>
      <c r="K170">
        <f t="shared" si="20"/>
        <v>2</v>
      </c>
      <c r="L170">
        <f t="shared" si="21"/>
        <v>4.761904761904762E-5</v>
      </c>
      <c r="M170" t="b">
        <f t="shared" si="22"/>
        <v>1</v>
      </c>
      <c r="N170" t="b">
        <f t="shared" si="23"/>
        <v>1</v>
      </c>
      <c r="O170" t="s">
        <v>22</v>
      </c>
      <c r="P170">
        <f t="shared" si="24"/>
        <v>0.21428571428571427</v>
      </c>
      <c r="Q170">
        <f t="shared" si="25"/>
        <v>1</v>
      </c>
      <c r="R170">
        <f t="shared" si="26"/>
        <v>0.52857142857142858</v>
      </c>
    </row>
    <row r="171" spans="1:18">
      <c r="A171" t="s">
        <v>201</v>
      </c>
      <c r="B171" t="s">
        <v>67</v>
      </c>
      <c r="C171" t="str">
        <f t="shared" si="18"/>
        <v>Quality Assurance</v>
      </c>
      <c r="D171" t="s">
        <v>27</v>
      </c>
      <c r="E171" t="str">
        <f t="shared" si="19"/>
        <v>Technova</v>
      </c>
      <c r="F171">
        <v>5</v>
      </c>
      <c r="G171">
        <v>42000</v>
      </c>
      <c r="H171" s="1">
        <v>43350</v>
      </c>
      <c r="I171">
        <v>5</v>
      </c>
      <c r="J171" t="s">
        <v>57</v>
      </c>
      <c r="K171">
        <f t="shared" si="20"/>
        <v>2</v>
      </c>
      <c r="L171">
        <f t="shared" si="21"/>
        <v>4.761904761904762E-5</v>
      </c>
      <c r="M171" t="b">
        <f t="shared" si="22"/>
        <v>0</v>
      </c>
      <c r="N171" t="b">
        <f t="shared" si="23"/>
        <v>0</v>
      </c>
      <c r="O171" t="s">
        <v>22</v>
      </c>
      <c r="P171">
        <f t="shared" si="24"/>
        <v>0.21428571428571427</v>
      </c>
      <c r="Q171">
        <f t="shared" si="25"/>
        <v>1</v>
      </c>
      <c r="R171">
        <f t="shared" si="26"/>
        <v>0.52857142857142858</v>
      </c>
    </row>
    <row r="172" spans="1:18">
      <c r="A172" t="s">
        <v>202</v>
      </c>
      <c r="B172" t="s">
        <v>25</v>
      </c>
      <c r="C172" t="str">
        <f t="shared" si="18"/>
        <v>Sales &amp; Marketing</v>
      </c>
      <c r="D172" t="s">
        <v>20</v>
      </c>
      <c r="E172" t="str">
        <f t="shared" si="19"/>
        <v>Dataverse</v>
      </c>
      <c r="F172">
        <v>12</v>
      </c>
      <c r="G172">
        <v>21000</v>
      </c>
      <c r="H172" s="1">
        <v>39679</v>
      </c>
      <c r="I172">
        <v>5</v>
      </c>
      <c r="J172" t="s">
        <v>21</v>
      </c>
      <c r="K172">
        <f t="shared" si="20"/>
        <v>1</v>
      </c>
      <c r="L172">
        <f t="shared" si="21"/>
        <v>4.761904761904762E-5</v>
      </c>
      <c r="M172" t="b">
        <f t="shared" si="22"/>
        <v>0</v>
      </c>
      <c r="N172" t="b">
        <f t="shared" si="23"/>
        <v>1</v>
      </c>
      <c r="O172" t="s">
        <v>22</v>
      </c>
      <c r="P172">
        <f t="shared" si="24"/>
        <v>0.21428571428571427</v>
      </c>
      <c r="Q172">
        <f t="shared" si="25"/>
        <v>1</v>
      </c>
      <c r="R172">
        <f t="shared" si="26"/>
        <v>0.52857142857142858</v>
      </c>
    </row>
    <row r="173" spans="1:18">
      <c r="A173" t="s">
        <v>203</v>
      </c>
      <c r="B173" t="s">
        <v>204</v>
      </c>
      <c r="C173" t="str">
        <f t="shared" si="18"/>
        <v>Administrative Services</v>
      </c>
      <c r="D173" t="s">
        <v>20</v>
      </c>
      <c r="E173" t="str">
        <f t="shared" si="19"/>
        <v>Dataverse</v>
      </c>
      <c r="F173">
        <v>9</v>
      </c>
      <c r="G173">
        <v>64000</v>
      </c>
      <c r="H173" s="1">
        <v>39961</v>
      </c>
      <c r="I173">
        <v>5</v>
      </c>
      <c r="J173" t="s">
        <v>174</v>
      </c>
      <c r="K173">
        <f t="shared" si="20"/>
        <v>3</v>
      </c>
      <c r="L173">
        <f t="shared" si="21"/>
        <v>4.6875000000000001E-5</v>
      </c>
      <c r="M173" t="b">
        <f t="shared" si="22"/>
        <v>0</v>
      </c>
      <c r="N173" t="b">
        <f t="shared" si="23"/>
        <v>1</v>
      </c>
      <c r="O173" t="s">
        <v>22</v>
      </c>
      <c r="P173">
        <f t="shared" si="24"/>
        <v>0.20312499999999997</v>
      </c>
      <c r="Q173">
        <f t="shared" si="25"/>
        <v>1</v>
      </c>
      <c r="R173">
        <f t="shared" si="26"/>
        <v>0.52187499999999998</v>
      </c>
    </row>
    <row r="174" spans="1:18">
      <c r="A174" t="s">
        <v>205</v>
      </c>
      <c r="B174" t="s">
        <v>70</v>
      </c>
      <c r="C174" t="str">
        <f t="shared" si="18"/>
        <v>Customer Experience</v>
      </c>
      <c r="D174" t="s">
        <v>27</v>
      </c>
      <c r="E174" t="str">
        <f t="shared" si="19"/>
        <v>Technova</v>
      </c>
      <c r="F174">
        <v>18</v>
      </c>
      <c r="G174">
        <v>64000</v>
      </c>
      <c r="H174" s="1">
        <v>45154</v>
      </c>
      <c r="I174">
        <v>5</v>
      </c>
      <c r="J174" t="s">
        <v>174</v>
      </c>
      <c r="K174">
        <f t="shared" si="20"/>
        <v>3</v>
      </c>
      <c r="L174">
        <f t="shared" si="21"/>
        <v>4.6875000000000001E-5</v>
      </c>
      <c r="M174" t="b">
        <f t="shared" si="22"/>
        <v>1</v>
      </c>
      <c r="N174" t="b">
        <f t="shared" si="23"/>
        <v>1</v>
      </c>
      <c r="O174" t="s">
        <v>22</v>
      </c>
      <c r="P174">
        <f t="shared" si="24"/>
        <v>0.20312499999999997</v>
      </c>
      <c r="Q174">
        <f t="shared" si="25"/>
        <v>1</v>
      </c>
      <c r="R174">
        <f t="shared" si="26"/>
        <v>0.52187499999999998</v>
      </c>
    </row>
    <row r="175" spans="1:18">
      <c r="A175" t="s">
        <v>206</v>
      </c>
      <c r="B175" t="s">
        <v>70</v>
      </c>
      <c r="C175" t="str">
        <f t="shared" si="18"/>
        <v>Customer Experience</v>
      </c>
      <c r="D175" t="s">
        <v>27</v>
      </c>
      <c r="E175" t="str">
        <f t="shared" si="19"/>
        <v>Technova</v>
      </c>
      <c r="F175">
        <v>22</v>
      </c>
      <c r="G175">
        <v>43000</v>
      </c>
      <c r="H175" s="1">
        <v>40872</v>
      </c>
      <c r="I175">
        <v>5</v>
      </c>
      <c r="J175" t="s">
        <v>57</v>
      </c>
      <c r="K175">
        <f t="shared" si="20"/>
        <v>2</v>
      </c>
      <c r="L175">
        <f t="shared" si="21"/>
        <v>4.6511627906976741E-5</v>
      </c>
      <c r="M175" t="b">
        <f t="shared" si="22"/>
        <v>1</v>
      </c>
      <c r="N175" t="b">
        <f t="shared" si="23"/>
        <v>1</v>
      </c>
      <c r="O175" t="s">
        <v>22</v>
      </c>
      <c r="P175">
        <f t="shared" si="24"/>
        <v>0.1976744186046511</v>
      </c>
      <c r="Q175">
        <f t="shared" si="25"/>
        <v>1</v>
      </c>
      <c r="R175">
        <f t="shared" si="26"/>
        <v>0.51860465116279064</v>
      </c>
    </row>
    <row r="176" spans="1:18">
      <c r="A176" t="s">
        <v>207</v>
      </c>
      <c r="B176" t="s">
        <v>102</v>
      </c>
      <c r="C176" t="str">
        <f t="shared" si="18"/>
        <v>Finance</v>
      </c>
      <c r="D176" t="s">
        <v>20</v>
      </c>
      <c r="E176" t="str">
        <f t="shared" si="19"/>
        <v>Dataverse</v>
      </c>
      <c r="F176">
        <v>23</v>
      </c>
      <c r="G176">
        <v>43000</v>
      </c>
      <c r="H176" s="1">
        <v>40486</v>
      </c>
      <c r="I176">
        <v>5</v>
      </c>
      <c r="J176" t="s">
        <v>57</v>
      </c>
      <c r="K176">
        <f t="shared" si="20"/>
        <v>2</v>
      </c>
      <c r="L176">
        <f t="shared" si="21"/>
        <v>4.6511627906976741E-5</v>
      </c>
      <c r="M176" t="b">
        <f t="shared" si="22"/>
        <v>1</v>
      </c>
      <c r="N176" t="b">
        <f t="shared" si="23"/>
        <v>1</v>
      </c>
      <c r="O176" t="s">
        <v>22</v>
      </c>
      <c r="P176">
        <f t="shared" si="24"/>
        <v>0.1976744186046511</v>
      </c>
      <c r="Q176">
        <f t="shared" si="25"/>
        <v>1</v>
      </c>
      <c r="R176">
        <f t="shared" si="26"/>
        <v>0.51860465116279064</v>
      </c>
    </row>
    <row r="177" spans="1:18">
      <c r="A177" t="s">
        <v>208</v>
      </c>
      <c r="B177" t="s">
        <v>102</v>
      </c>
      <c r="C177" t="str">
        <f t="shared" si="18"/>
        <v>Finance</v>
      </c>
      <c r="D177" t="s">
        <v>27</v>
      </c>
      <c r="E177" t="str">
        <f t="shared" si="19"/>
        <v>Technova</v>
      </c>
      <c r="F177">
        <v>7</v>
      </c>
      <c r="G177">
        <v>43000</v>
      </c>
      <c r="H177" s="1">
        <v>41189</v>
      </c>
      <c r="I177">
        <v>5</v>
      </c>
      <c r="J177" t="s">
        <v>57</v>
      </c>
      <c r="K177">
        <f t="shared" si="20"/>
        <v>2</v>
      </c>
      <c r="L177">
        <f t="shared" si="21"/>
        <v>4.6511627906976741E-5</v>
      </c>
      <c r="M177" t="b">
        <f t="shared" si="22"/>
        <v>0</v>
      </c>
      <c r="N177" t="b">
        <f t="shared" si="23"/>
        <v>1</v>
      </c>
      <c r="O177" t="s">
        <v>22</v>
      </c>
      <c r="P177">
        <f t="shared" si="24"/>
        <v>0.1976744186046511</v>
      </c>
      <c r="Q177">
        <f t="shared" si="25"/>
        <v>1</v>
      </c>
      <c r="R177">
        <f t="shared" si="26"/>
        <v>0.51860465116279064</v>
      </c>
    </row>
    <row r="178" spans="1:18">
      <c r="A178" t="s">
        <v>209</v>
      </c>
      <c r="B178" t="s">
        <v>102</v>
      </c>
      <c r="C178" t="str">
        <f t="shared" si="18"/>
        <v>Finance</v>
      </c>
      <c r="D178" t="s">
        <v>20</v>
      </c>
      <c r="E178" t="str">
        <f t="shared" si="19"/>
        <v>Dataverse</v>
      </c>
      <c r="F178">
        <v>3</v>
      </c>
      <c r="G178">
        <v>43000</v>
      </c>
      <c r="H178" s="1">
        <v>41959</v>
      </c>
      <c r="I178">
        <v>5</v>
      </c>
      <c r="J178" t="s">
        <v>57</v>
      </c>
      <c r="K178">
        <f t="shared" si="20"/>
        <v>2</v>
      </c>
      <c r="L178">
        <f t="shared" si="21"/>
        <v>4.6511627906976741E-5</v>
      </c>
      <c r="M178" t="b">
        <f t="shared" si="22"/>
        <v>0</v>
      </c>
      <c r="N178" t="b">
        <f t="shared" si="23"/>
        <v>0</v>
      </c>
      <c r="O178" t="s">
        <v>22</v>
      </c>
      <c r="P178">
        <f t="shared" si="24"/>
        <v>0.1976744186046511</v>
      </c>
      <c r="Q178">
        <f t="shared" si="25"/>
        <v>1</v>
      </c>
      <c r="R178">
        <f t="shared" si="26"/>
        <v>0.51860465116279064</v>
      </c>
    </row>
    <row r="179" spans="1:18">
      <c r="A179" t="s">
        <v>210</v>
      </c>
      <c r="B179" t="s">
        <v>56</v>
      </c>
      <c r="C179" t="str">
        <f t="shared" si="18"/>
        <v>IT &amp; Systems</v>
      </c>
      <c r="D179" t="s">
        <v>20</v>
      </c>
      <c r="E179" t="str">
        <f t="shared" si="19"/>
        <v>Dataverse</v>
      </c>
      <c r="F179">
        <v>23</v>
      </c>
      <c r="G179">
        <v>43000</v>
      </c>
      <c r="H179" s="1">
        <v>38308</v>
      </c>
      <c r="I179">
        <v>5</v>
      </c>
      <c r="J179" t="s">
        <v>57</v>
      </c>
      <c r="K179">
        <f t="shared" si="20"/>
        <v>2</v>
      </c>
      <c r="L179">
        <f t="shared" si="21"/>
        <v>4.6511627906976741E-5</v>
      </c>
      <c r="M179" t="b">
        <f t="shared" si="22"/>
        <v>1</v>
      </c>
      <c r="N179" t="b">
        <f t="shared" si="23"/>
        <v>1</v>
      </c>
      <c r="O179" t="s">
        <v>22</v>
      </c>
      <c r="P179">
        <f t="shared" si="24"/>
        <v>0.1976744186046511</v>
      </c>
      <c r="Q179">
        <f t="shared" si="25"/>
        <v>1</v>
      </c>
      <c r="R179">
        <f t="shared" si="26"/>
        <v>0.51860465116279064</v>
      </c>
    </row>
    <row r="180" spans="1:18">
      <c r="A180" t="s">
        <v>211</v>
      </c>
      <c r="B180" t="s">
        <v>60</v>
      </c>
      <c r="C180" t="str">
        <f t="shared" si="18"/>
        <v>Manufacturing and operations</v>
      </c>
      <c r="D180" t="s">
        <v>27</v>
      </c>
      <c r="E180" t="str">
        <f t="shared" si="19"/>
        <v>Technova</v>
      </c>
      <c r="F180">
        <v>13</v>
      </c>
      <c r="G180">
        <v>43000</v>
      </c>
      <c r="H180" s="1">
        <v>42412</v>
      </c>
      <c r="I180">
        <v>5</v>
      </c>
      <c r="J180" t="s">
        <v>57</v>
      </c>
      <c r="K180">
        <f t="shared" si="20"/>
        <v>2</v>
      </c>
      <c r="L180">
        <f t="shared" si="21"/>
        <v>4.6511627906976741E-5</v>
      </c>
      <c r="M180" t="b">
        <f t="shared" si="22"/>
        <v>0</v>
      </c>
      <c r="N180" t="b">
        <f t="shared" si="23"/>
        <v>1</v>
      </c>
      <c r="O180" t="s">
        <v>22</v>
      </c>
      <c r="P180">
        <f t="shared" si="24"/>
        <v>0.1976744186046511</v>
      </c>
      <c r="Q180">
        <f t="shared" si="25"/>
        <v>1</v>
      </c>
      <c r="R180">
        <f t="shared" si="26"/>
        <v>0.51860465116279064</v>
      </c>
    </row>
    <row r="181" spans="1:18">
      <c r="A181" t="s">
        <v>212</v>
      </c>
      <c r="B181" t="s">
        <v>60</v>
      </c>
      <c r="C181" t="str">
        <f t="shared" si="18"/>
        <v>Manufacturing and operations</v>
      </c>
      <c r="D181" t="s">
        <v>27</v>
      </c>
      <c r="E181" t="str">
        <f t="shared" si="19"/>
        <v>Technova</v>
      </c>
      <c r="F181">
        <v>6</v>
      </c>
      <c r="G181">
        <v>43000</v>
      </c>
      <c r="H181" s="1">
        <v>40778</v>
      </c>
      <c r="I181">
        <v>5</v>
      </c>
      <c r="J181" t="s">
        <v>57</v>
      </c>
      <c r="K181">
        <f t="shared" si="20"/>
        <v>2</v>
      </c>
      <c r="L181">
        <f t="shared" si="21"/>
        <v>4.6511627906976741E-5</v>
      </c>
      <c r="M181" t="b">
        <f t="shared" si="22"/>
        <v>0</v>
      </c>
      <c r="N181" t="b">
        <f t="shared" si="23"/>
        <v>1</v>
      </c>
      <c r="O181" t="s">
        <v>22</v>
      </c>
      <c r="P181">
        <f t="shared" si="24"/>
        <v>0.1976744186046511</v>
      </c>
      <c r="Q181">
        <f t="shared" si="25"/>
        <v>1</v>
      </c>
      <c r="R181">
        <f t="shared" si="26"/>
        <v>0.51860465116279064</v>
      </c>
    </row>
    <row r="182" spans="1:18">
      <c r="A182" t="s">
        <v>213</v>
      </c>
      <c r="B182" t="s">
        <v>60</v>
      </c>
      <c r="C182" t="str">
        <f t="shared" si="18"/>
        <v>Manufacturing and operations</v>
      </c>
      <c r="D182" t="s">
        <v>20</v>
      </c>
      <c r="E182" t="str">
        <f t="shared" si="19"/>
        <v>Dataverse</v>
      </c>
      <c r="F182">
        <v>2</v>
      </c>
      <c r="G182">
        <v>43000</v>
      </c>
      <c r="H182" s="1">
        <v>41412</v>
      </c>
      <c r="I182">
        <v>5</v>
      </c>
      <c r="J182" t="s">
        <v>57</v>
      </c>
      <c r="K182">
        <f t="shared" si="20"/>
        <v>2</v>
      </c>
      <c r="L182">
        <f t="shared" si="21"/>
        <v>4.6511627906976741E-5</v>
      </c>
      <c r="M182" t="b">
        <f t="shared" si="22"/>
        <v>0</v>
      </c>
      <c r="N182" t="b">
        <f t="shared" si="23"/>
        <v>0</v>
      </c>
      <c r="O182" t="s">
        <v>22</v>
      </c>
      <c r="P182">
        <f t="shared" si="24"/>
        <v>0.1976744186046511</v>
      </c>
      <c r="Q182">
        <f t="shared" si="25"/>
        <v>1</v>
      </c>
      <c r="R182">
        <f t="shared" si="26"/>
        <v>0.51860465116279064</v>
      </c>
    </row>
    <row r="183" spans="1:18">
      <c r="A183" t="s">
        <v>214</v>
      </c>
      <c r="B183" t="s">
        <v>19</v>
      </c>
      <c r="C183" t="str">
        <f t="shared" si="18"/>
        <v>Research &amp; Department</v>
      </c>
      <c r="D183" t="s">
        <v>27</v>
      </c>
      <c r="E183" t="str">
        <f t="shared" si="19"/>
        <v>Technova</v>
      </c>
      <c r="F183">
        <v>15</v>
      </c>
      <c r="G183">
        <v>11000</v>
      </c>
      <c r="H183" s="1">
        <v>43260</v>
      </c>
      <c r="I183">
        <v>1</v>
      </c>
      <c r="J183" t="s">
        <v>21</v>
      </c>
      <c r="K183">
        <f t="shared" si="20"/>
        <v>1</v>
      </c>
      <c r="L183">
        <f t="shared" si="21"/>
        <v>9.0909090909090904E-5</v>
      </c>
      <c r="M183" t="b">
        <f t="shared" si="22"/>
        <v>0</v>
      </c>
      <c r="N183" t="b">
        <f t="shared" si="23"/>
        <v>1</v>
      </c>
      <c r="O183" t="s">
        <v>22</v>
      </c>
      <c r="P183">
        <f t="shared" si="24"/>
        <v>0.86363636363636354</v>
      </c>
      <c r="Q183">
        <f t="shared" si="25"/>
        <v>0</v>
      </c>
      <c r="R183">
        <f t="shared" si="26"/>
        <v>0.51818181818181808</v>
      </c>
    </row>
    <row r="184" spans="1:18">
      <c r="A184" t="s">
        <v>215</v>
      </c>
      <c r="B184" t="s">
        <v>204</v>
      </c>
      <c r="C184" t="str">
        <f t="shared" si="18"/>
        <v>Administrative Services</v>
      </c>
      <c r="D184" t="s">
        <v>27</v>
      </c>
      <c r="E184" t="str">
        <f t="shared" si="19"/>
        <v>Technova</v>
      </c>
      <c r="F184">
        <v>23</v>
      </c>
      <c r="G184">
        <v>65000</v>
      </c>
      <c r="H184" s="1">
        <v>45178</v>
      </c>
      <c r="I184">
        <v>5</v>
      </c>
      <c r="J184" t="s">
        <v>174</v>
      </c>
      <c r="K184">
        <f t="shared" si="20"/>
        <v>3</v>
      </c>
      <c r="L184">
        <f t="shared" si="21"/>
        <v>4.6153846153846151E-5</v>
      </c>
      <c r="M184" t="b">
        <f t="shared" si="22"/>
        <v>1</v>
      </c>
      <c r="N184" t="b">
        <f t="shared" si="23"/>
        <v>1</v>
      </c>
      <c r="O184" t="s">
        <v>22</v>
      </c>
      <c r="P184">
        <f t="shared" si="24"/>
        <v>0.19230769230769224</v>
      </c>
      <c r="Q184">
        <f t="shared" si="25"/>
        <v>1</v>
      </c>
      <c r="R184">
        <f t="shared" si="26"/>
        <v>0.51538461538461533</v>
      </c>
    </row>
    <row r="185" spans="1:18">
      <c r="A185" t="s">
        <v>216</v>
      </c>
      <c r="B185" t="s">
        <v>70</v>
      </c>
      <c r="C185" t="str">
        <f t="shared" si="18"/>
        <v>Customer Experience</v>
      </c>
      <c r="D185" t="s">
        <v>27</v>
      </c>
      <c r="E185" t="str">
        <f t="shared" si="19"/>
        <v>Technova</v>
      </c>
      <c r="F185">
        <v>18</v>
      </c>
      <c r="G185">
        <v>65000</v>
      </c>
      <c r="H185" s="1">
        <v>40211</v>
      </c>
      <c r="I185">
        <v>5</v>
      </c>
      <c r="J185" t="s">
        <v>174</v>
      </c>
      <c r="K185">
        <f t="shared" si="20"/>
        <v>3</v>
      </c>
      <c r="L185">
        <f t="shared" si="21"/>
        <v>4.6153846153846151E-5</v>
      </c>
      <c r="M185" t="b">
        <f t="shared" si="22"/>
        <v>1</v>
      </c>
      <c r="N185" t="b">
        <f t="shared" si="23"/>
        <v>1</v>
      </c>
      <c r="O185" t="s">
        <v>22</v>
      </c>
      <c r="P185">
        <f t="shared" si="24"/>
        <v>0.19230769230769224</v>
      </c>
      <c r="Q185">
        <f t="shared" si="25"/>
        <v>1</v>
      </c>
      <c r="R185">
        <f t="shared" si="26"/>
        <v>0.51538461538461533</v>
      </c>
    </row>
    <row r="186" spans="1:18">
      <c r="A186" t="s">
        <v>217</v>
      </c>
      <c r="B186" t="s">
        <v>70</v>
      </c>
      <c r="C186" t="str">
        <f t="shared" si="18"/>
        <v>Customer Experience</v>
      </c>
      <c r="D186" t="s">
        <v>27</v>
      </c>
      <c r="E186" t="str">
        <f t="shared" si="19"/>
        <v>Technova</v>
      </c>
      <c r="F186">
        <v>14</v>
      </c>
      <c r="G186">
        <v>35000</v>
      </c>
      <c r="H186" s="1">
        <v>42357</v>
      </c>
      <c r="I186">
        <v>4</v>
      </c>
      <c r="J186" t="s">
        <v>57</v>
      </c>
      <c r="K186">
        <f t="shared" si="20"/>
        <v>2</v>
      </c>
      <c r="L186">
        <f t="shared" si="21"/>
        <v>5.7142857142857142E-5</v>
      </c>
      <c r="M186" t="b">
        <f t="shared" si="22"/>
        <v>0</v>
      </c>
      <c r="N186" t="b">
        <f t="shared" si="23"/>
        <v>1</v>
      </c>
      <c r="O186" t="s">
        <v>22</v>
      </c>
      <c r="P186">
        <f t="shared" si="24"/>
        <v>0.3571428571428571</v>
      </c>
      <c r="Q186">
        <f t="shared" si="25"/>
        <v>0.75</v>
      </c>
      <c r="R186">
        <f t="shared" si="26"/>
        <v>0.51428571428571423</v>
      </c>
    </row>
    <row r="187" spans="1:18">
      <c r="A187" t="s">
        <v>218</v>
      </c>
      <c r="B187" t="s">
        <v>74</v>
      </c>
      <c r="C187" t="str">
        <f t="shared" si="18"/>
        <v>Human Resources</v>
      </c>
      <c r="D187" t="s">
        <v>27</v>
      </c>
      <c r="E187" t="str">
        <f t="shared" si="19"/>
        <v>Technova</v>
      </c>
      <c r="F187">
        <v>23</v>
      </c>
      <c r="G187">
        <v>35000</v>
      </c>
      <c r="H187" s="1">
        <v>44886</v>
      </c>
      <c r="I187">
        <v>4</v>
      </c>
      <c r="J187" t="s">
        <v>57</v>
      </c>
      <c r="K187">
        <f t="shared" si="20"/>
        <v>2</v>
      </c>
      <c r="L187">
        <f t="shared" si="21"/>
        <v>5.7142857142857142E-5</v>
      </c>
      <c r="M187" t="b">
        <f t="shared" si="22"/>
        <v>1</v>
      </c>
      <c r="N187" t="b">
        <f t="shared" si="23"/>
        <v>1</v>
      </c>
      <c r="O187" t="s">
        <v>22</v>
      </c>
      <c r="P187">
        <f t="shared" si="24"/>
        <v>0.3571428571428571</v>
      </c>
      <c r="Q187">
        <f t="shared" si="25"/>
        <v>0.75</v>
      </c>
      <c r="R187">
        <f t="shared" si="26"/>
        <v>0.51428571428571423</v>
      </c>
    </row>
    <row r="188" spans="1:18">
      <c r="A188" t="s">
        <v>219</v>
      </c>
      <c r="B188" t="s">
        <v>56</v>
      </c>
      <c r="C188" t="str">
        <f t="shared" si="18"/>
        <v>IT &amp; Systems</v>
      </c>
      <c r="D188" t="s">
        <v>27</v>
      </c>
      <c r="E188" t="str">
        <f t="shared" si="19"/>
        <v>Technova</v>
      </c>
      <c r="F188">
        <v>19</v>
      </c>
      <c r="G188">
        <v>35000</v>
      </c>
      <c r="H188" s="1">
        <v>44378</v>
      </c>
      <c r="I188">
        <v>4</v>
      </c>
      <c r="J188" t="s">
        <v>57</v>
      </c>
      <c r="K188">
        <f t="shared" si="20"/>
        <v>2</v>
      </c>
      <c r="L188">
        <f t="shared" si="21"/>
        <v>5.7142857142857142E-5</v>
      </c>
      <c r="M188" t="b">
        <f t="shared" si="22"/>
        <v>1</v>
      </c>
      <c r="N188" t="b">
        <f t="shared" si="23"/>
        <v>1</v>
      </c>
      <c r="O188" t="s">
        <v>22</v>
      </c>
      <c r="P188">
        <f t="shared" si="24"/>
        <v>0.3571428571428571</v>
      </c>
      <c r="Q188">
        <f t="shared" si="25"/>
        <v>0.75</v>
      </c>
      <c r="R188">
        <f t="shared" si="26"/>
        <v>0.51428571428571423</v>
      </c>
    </row>
    <row r="189" spans="1:18">
      <c r="A189" t="s">
        <v>220</v>
      </c>
      <c r="B189" t="s">
        <v>60</v>
      </c>
      <c r="C189" t="str">
        <f t="shared" si="18"/>
        <v>Manufacturing and operations</v>
      </c>
      <c r="D189" t="s">
        <v>20</v>
      </c>
      <c r="E189" t="str">
        <f t="shared" si="19"/>
        <v>Dataverse</v>
      </c>
      <c r="F189">
        <v>4</v>
      </c>
      <c r="G189">
        <v>35000</v>
      </c>
      <c r="H189" s="1">
        <v>44375</v>
      </c>
      <c r="I189">
        <v>4</v>
      </c>
      <c r="J189" t="s">
        <v>57</v>
      </c>
      <c r="K189">
        <f t="shared" si="20"/>
        <v>2</v>
      </c>
      <c r="L189">
        <f t="shared" si="21"/>
        <v>5.7142857142857142E-5</v>
      </c>
      <c r="M189" t="b">
        <f t="shared" si="22"/>
        <v>0</v>
      </c>
      <c r="N189" t="b">
        <f t="shared" si="23"/>
        <v>0</v>
      </c>
      <c r="O189" t="s">
        <v>22</v>
      </c>
      <c r="P189">
        <f t="shared" si="24"/>
        <v>0.3571428571428571</v>
      </c>
      <c r="Q189">
        <f t="shared" si="25"/>
        <v>0.75</v>
      </c>
      <c r="R189">
        <f t="shared" si="26"/>
        <v>0.51428571428571423</v>
      </c>
    </row>
    <row r="190" spans="1:18">
      <c r="A190" t="s">
        <v>221</v>
      </c>
      <c r="B190" t="s">
        <v>19</v>
      </c>
      <c r="C190" t="str">
        <f t="shared" si="18"/>
        <v>Research &amp; Department</v>
      </c>
      <c r="D190" t="s">
        <v>27</v>
      </c>
      <c r="E190" t="str">
        <f t="shared" si="19"/>
        <v>Technova</v>
      </c>
      <c r="F190">
        <v>21</v>
      </c>
      <c r="G190">
        <v>22000</v>
      </c>
      <c r="H190" s="1">
        <v>38644</v>
      </c>
      <c r="I190">
        <v>5</v>
      </c>
      <c r="J190" t="s">
        <v>21</v>
      </c>
      <c r="K190">
        <f t="shared" si="20"/>
        <v>1</v>
      </c>
      <c r="L190">
        <f t="shared" si="21"/>
        <v>4.5454545454545452E-5</v>
      </c>
      <c r="M190" t="b">
        <f t="shared" si="22"/>
        <v>1</v>
      </c>
      <c r="N190" t="b">
        <f t="shared" si="23"/>
        <v>1</v>
      </c>
      <c r="O190" t="s">
        <v>22</v>
      </c>
      <c r="P190">
        <f t="shared" si="24"/>
        <v>0.18181818181818174</v>
      </c>
      <c r="Q190">
        <f t="shared" si="25"/>
        <v>1</v>
      </c>
      <c r="R190">
        <f t="shared" si="26"/>
        <v>0.50909090909090904</v>
      </c>
    </row>
    <row r="191" spans="1:18">
      <c r="A191" t="s">
        <v>222</v>
      </c>
      <c r="B191" t="s">
        <v>74</v>
      </c>
      <c r="C191" t="str">
        <f t="shared" si="18"/>
        <v>Human Resources</v>
      </c>
      <c r="D191" t="s">
        <v>27</v>
      </c>
      <c r="E191" t="str">
        <f t="shared" si="19"/>
        <v>Technova</v>
      </c>
      <c r="F191">
        <v>11</v>
      </c>
      <c r="G191">
        <v>44000</v>
      </c>
      <c r="H191" s="1">
        <v>40400</v>
      </c>
      <c r="I191">
        <v>5</v>
      </c>
      <c r="J191" t="s">
        <v>57</v>
      </c>
      <c r="K191">
        <f t="shared" si="20"/>
        <v>2</v>
      </c>
      <c r="L191">
        <f t="shared" si="21"/>
        <v>4.5454545454545452E-5</v>
      </c>
      <c r="M191" t="b">
        <f t="shared" si="22"/>
        <v>0</v>
      </c>
      <c r="N191" t="b">
        <f t="shared" si="23"/>
        <v>1</v>
      </c>
      <c r="O191" t="s">
        <v>22</v>
      </c>
      <c r="P191">
        <f t="shared" si="24"/>
        <v>0.18181818181818174</v>
      </c>
      <c r="Q191">
        <f t="shared" si="25"/>
        <v>1</v>
      </c>
      <c r="R191">
        <f t="shared" si="26"/>
        <v>0.50909090909090904</v>
      </c>
    </row>
    <row r="192" spans="1:18">
      <c r="A192" t="s">
        <v>223</v>
      </c>
      <c r="B192" t="s">
        <v>224</v>
      </c>
      <c r="C192" t="str">
        <f t="shared" si="18"/>
        <v>Business Strategy</v>
      </c>
      <c r="D192" t="s">
        <v>20</v>
      </c>
      <c r="E192" t="str">
        <f t="shared" si="19"/>
        <v>Dataverse</v>
      </c>
      <c r="F192">
        <v>15</v>
      </c>
      <c r="G192">
        <v>66000</v>
      </c>
      <c r="H192" s="1">
        <v>39722</v>
      </c>
      <c r="I192">
        <v>5</v>
      </c>
      <c r="J192" t="s">
        <v>174</v>
      </c>
      <c r="K192">
        <f t="shared" si="20"/>
        <v>3</v>
      </c>
      <c r="L192">
        <f t="shared" si="21"/>
        <v>4.5454545454545452E-5</v>
      </c>
      <c r="M192" t="b">
        <f t="shared" si="22"/>
        <v>0</v>
      </c>
      <c r="N192" t="b">
        <f t="shared" si="23"/>
        <v>1</v>
      </c>
      <c r="O192" t="s">
        <v>22</v>
      </c>
      <c r="P192">
        <f t="shared" si="24"/>
        <v>0.18181818181818174</v>
      </c>
      <c r="Q192">
        <f t="shared" si="25"/>
        <v>1</v>
      </c>
      <c r="R192">
        <f t="shared" si="26"/>
        <v>0.50909090909090904</v>
      </c>
    </row>
    <row r="193" spans="1:18">
      <c r="A193" t="s">
        <v>225</v>
      </c>
      <c r="B193" t="s">
        <v>56</v>
      </c>
      <c r="C193" t="str">
        <f t="shared" si="18"/>
        <v>IT &amp; Systems</v>
      </c>
      <c r="D193" t="s">
        <v>27</v>
      </c>
      <c r="E193" t="str">
        <f t="shared" si="19"/>
        <v>Technova</v>
      </c>
      <c r="F193">
        <v>22</v>
      </c>
      <c r="G193">
        <v>44000</v>
      </c>
      <c r="H193" s="1">
        <v>41546</v>
      </c>
      <c r="I193">
        <v>5</v>
      </c>
      <c r="J193" t="s">
        <v>57</v>
      </c>
      <c r="K193">
        <f t="shared" si="20"/>
        <v>2</v>
      </c>
      <c r="L193">
        <f t="shared" si="21"/>
        <v>4.5454545454545452E-5</v>
      </c>
      <c r="M193" t="b">
        <f t="shared" si="22"/>
        <v>1</v>
      </c>
      <c r="N193" t="b">
        <f t="shared" si="23"/>
        <v>1</v>
      </c>
      <c r="O193" t="s">
        <v>22</v>
      </c>
      <c r="P193">
        <f t="shared" si="24"/>
        <v>0.18181818181818174</v>
      </c>
      <c r="Q193">
        <f t="shared" si="25"/>
        <v>1</v>
      </c>
      <c r="R193">
        <f t="shared" si="26"/>
        <v>0.50909090909090904</v>
      </c>
    </row>
    <row r="194" spans="1:18">
      <c r="A194" t="s">
        <v>226</v>
      </c>
      <c r="B194" t="s">
        <v>19</v>
      </c>
      <c r="C194" t="str">
        <f t="shared" ref="C194:C257" si="27">TRIM(B194)</f>
        <v>Research &amp; Department</v>
      </c>
      <c r="D194" t="s">
        <v>27</v>
      </c>
      <c r="E194" t="str">
        <f t="shared" ref="E194:E257" si="28">TRIM(D194)</f>
        <v>Technova</v>
      </c>
      <c r="F194">
        <v>25</v>
      </c>
      <c r="G194">
        <v>22000</v>
      </c>
      <c r="H194" s="1">
        <v>43364</v>
      </c>
      <c r="I194">
        <v>5</v>
      </c>
      <c r="J194" t="s">
        <v>21</v>
      </c>
      <c r="K194">
        <f t="shared" ref="K194:K257" si="29">IF(J194="A", 3, IF(J194="B", 2, 1))</f>
        <v>1</v>
      </c>
      <c r="L194">
        <f t="shared" ref="L194:L257" si="30">K194/G194</f>
        <v>4.5454545454545452E-5</v>
      </c>
      <c r="M194" t="b">
        <f t="shared" ref="M194:M257" si="31">IF(F194&gt;15, TRUE, FALSE)</f>
        <v>1</v>
      </c>
      <c r="N194" t="b">
        <f t="shared" ref="N194:N257" si="32">IF(F194&gt;5, TRUE, FALSE)</f>
        <v>1</v>
      </c>
      <c r="O194" t="s">
        <v>22</v>
      </c>
      <c r="P194">
        <f t="shared" ref="P194:P257" si="33">(L194-MIN(L:L))/(MAX(L:L)-MIN(L:L))</f>
        <v>0.18181818181818174</v>
      </c>
      <c r="Q194">
        <f t="shared" ref="Q194:Q257" si="34">(I194-1)/4</f>
        <v>1</v>
      </c>
      <c r="R194">
        <f t="shared" ref="R194:R257" si="35">(0.6*P194)+(0.4*Q194)</f>
        <v>0.50909090909090904</v>
      </c>
    </row>
    <row r="195" spans="1:18">
      <c r="A195" t="s">
        <v>227</v>
      </c>
      <c r="B195" t="s">
        <v>60</v>
      </c>
      <c r="C195" t="str">
        <f t="shared" si="27"/>
        <v>Manufacturing and operations</v>
      </c>
      <c r="D195" t="s">
        <v>20</v>
      </c>
      <c r="E195" t="str">
        <f t="shared" si="28"/>
        <v>Dataverse</v>
      </c>
      <c r="F195">
        <v>25</v>
      </c>
      <c r="G195">
        <v>44000</v>
      </c>
      <c r="H195" s="1">
        <v>43521</v>
      </c>
      <c r="I195">
        <v>5</v>
      </c>
      <c r="J195" t="s">
        <v>57</v>
      </c>
      <c r="K195">
        <f t="shared" si="29"/>
        <v>2</v>
      </c>
      <c r="L195">
        <f t="shared" si="30"/>
        <v>4.5454545454545452E-5</v>
      </c>
      <c r="M195" t="b">
        <f t="shared" si="31"/>
        <v>1</v>
      </c>
      <c r="N195" t="b">
        <f t="shared" si="32"/>
        <v>1</v>
      </c>
      <c r="O195" t="s">
        <v>22</v>
      </c>
      <c r="P195">
        <f t="shared" si="33"/>
        <v>0.18181818181818174</v>
      </c>
      <c r="Q195">
        <f t="shared" si="34"/>
        <v>1</v>
      </c>
      <c r="R195">
        <f t="shared" si="35"/>
        <v>0.50909090909090904</v>
      </c>
    </row>
    <row r="196" spans="1:18">
      <c r="A196" t="s">
        <v>228</v>
      </c>
      <c r="B196" t="s">
        <v>25</v>
      </c>
      <c r="C196" t="str">
        <f t="shared" si="27"/>
        <v>Sales &amp; Marketing</v>
      </c>
      <c r="D196" t="s">
        <v>20</v>
      </c>
      <c r="E196" t="str">
        <f t="shared" si="28"/>
        <v>Dataverse</v>
      </c>
      <c r="F196">
        <v>10</v>
      </c>
      <c r="G196">
        <v>22000</v>
      </c>
      <c r="H196" s="1">
        <v>44587</v>
      </c>
      <c r="I196">
        <v>5</v>
      </c>
      <c r="J196" t="s">
        <v>21</v>
      </c>
      <c r="K196">
        <f t="shared" si="29"/>
        <v>1</v>
      </c>
      <c r="L196">
        <f t="shared" si="30"/>
        <v>4.5454545454545452E-5</v>
      </c>
      <c r="M196" t="b">
        <f t="shared" si="31"/>
        <v>0</v>
      </c>
      <c r="N196" t="b">
        <f t="shared" si="32"/>
        <v>1</v>
      </c>
      <c r="O196" t="s">
        <v>22</v>
      </c>
      <c r="P196">
        <f t="shared" si="33"/>
        <v>0.18181818181818174</v>
      </c>
      <c r="Q196">
        <f t="shared" si="34"/>
        <v>1</v>
      </c>
      <c r="R196">
        <f t="shared" si="35"/>
        <v>0.50909090909090904</v>
      </c>
    </row>
    <row r="197" spans="1:18">
      <c r="A197" t="s">
        <v>229</v>
      </c>
      <c r="B197" t="s">
        <v>204</v>
      </c>
      <c r="C197" t="str">
        <f t="shared" si="27"/>
        <v>Administrative Services</v>
      </c>
      <c r="D197" t="s">
        <v>20</v>
      </c>
      <c r="E197" t="str">
        <f t="shared" si="28"/>
        <v>Dataverse</v>
      </c>
      <c r="F197">
        <v>18</v>
      </c>
      <c r="G197">
        <v>67000</v>
      </c>
      <c r="H197" s="1">
        <v>44121</v>
      </c>
      <c r="I197">
        <v>5</v>
      </c>
      <c r="J197" t="s">
        <v>174</v>
      </c>
      <c r="K197">
        <f t="shared" si="29"/>
        <v>3</v>
      </c>
      <c r="L197">
        <f t="shared" si="30"/>
        <v>4.4776119402985078E-5</v>
      </c>
      <c r="M197" t="b">
        <f t="shared" si="31"/>
        <v>1</v>
      </c>
      <c r="N197" t="b">
        <f t="shared" si="32"/>
        <v>1</v>
      </c>
      <c r="O197" t="s">
        <v>22</v>
      </c>
      <c r="P197">
        <f t="shared" si="33"/>
        <v>0.17164179104477614</v>
      </c>
      <c r="Q197">
        <f t="shared" si="34"/>
        <v>1</v>
      </c>
      <c r="R197">
        <f t="shared" si="35"/>
        <v>0.5029850746268657</v>
      </c>
    </row>
    <row r="198" spans="1:18">
      <c r="A198" t="s">
        <v>230</v>
      </c>
      <c r="B198" t="s">
        <v>70</v>
      </c>
      <c r="C198" t="str">
        <f t="shared" si="27"/>
        <v>Customer Experience</v>
      </c>
      <c r="D198" t="s">
        <v>27</v>
      </c>
      <c r="E198" t="str">
        <f t="shared" si="28"/>
        <v>Technova</v>
      </c>
      <c r="F198">
        <v>14</v>
      </c>
      <c r="G198">
        <v>45000</v>
      </c>
      <c r="H198" s="1">
        <v>42718</v>
      </c>
      <c r="I198">
        <v>5</v>
      </c>
      <c r="J198" t="s">
        <v>57</v>
      </c>
      <c r="K198">
        <f t="shared" si="29"/>
        <v>2</v>
      </c>
      <c r="L198">
        <f t="shared" si="30"/>
        <v>4.4444444444444447E-5</v>
      </c>
      <c r="M198" t="b">
        <f t="shared" si="31"/>
        <v>0</v>
      </c>
      <c r="N198" t="b">
        <f t="shared" si="32"/>
        <v>1</v>
      </c>
      <c r="O198" t="s">
        <v>22</v>
      </c>
      <c r="P198">
        <f t="shared" si="33"/>
        <v>0.16666666666666666</v>
      </c>
      <c r="Q198">
        <f t="shared" si="34"/>
        <v>1</v>
      </c>
      <c r="R198">
        <f t="shared" si="35"/>
        <v>0.5</v>
      </c>
    </row>
    <row r="199" spans="1:18">
      <c r="A199" t="s">
        <v>231</v>
      </c>
      <c r="B199" t="s">
        <v>102</v>
      </c>
      <c r="C199" t="str">
        <f t="shared" si="27"/>
        <v>Finance</v>
      </c>
      <c r="D199" t="s">
        <v>20</v>
      </c>
      <c r="E199" t="str">
        <f t="shared" si="28"/>
        <v>Dataverse</v>
      </c>
      <c r="F199">
        <v>20</v>
      </c>
      <c r="G199">
        <v>36000</v>
      </c>
      <c r="H199" s="1">
        <v>42070</v>
      </c>
      <c r="I199">
        <v>4</v>
      </c>
      <c r="J199" t="s">
        <v>57</v>
      </c>
      <c r="K199">
        <f t="shared" si="29"/>
        <v>2</v>
      </c>
      <c r="L199">
        <f t="shared" si="30"/>
        <v>5.5555555555555558E-5</v>
      </c>
      <c r="M199" t="b">
        <f t="shared" si="31"/>
        <v>1</v>
      </c>
      <c r="N199" t="b">
        <f t="shared" si="32"/>
        <v>1</v>
      </c>
      <c r="O199" t="s">
        <v>22</v>
      </c>
      <c r="P199">
        <f t="shared" si="33"/>
        <v>0.33333333333333331</v>
      </c>
      <c r="Q199">
        <f t="shared" si="34"/>
        <v>0.75</v>
      </c>
      <c r="R199">
        <f t="shared" si="35"/>
        <v>0.5</v>
      </c>
    </row>
    <row r="200" spans="1:18">
      <c r="A200" t="s">
        <v>232</v>
      </c>
      <c r="B200" t="s">
        <v>19</v>
      </c>
      <c r="C200" t="str">
        <f t="shared" si="27"/>
        <v>Research &amp; Department</v>
      </c>
      <c r="D200" t="s">
        <v>20</v>
      </c>
      <c r="E200" t="str">
        <f t="shared" si="28"/>
        <v>Dataverse</v>
      </c>
      <c r="F200">
        <v>7</v>
      </c>
      <c r="G200">
        <v>18000</v>
      </c>
      <c r="H200" s="1">
        <v>40089</v>
      </c>
      <c r="I200">
        <v>4</v>
      </c>
      <c r="J200" t="s">
        <v>21</v>
      </c>
      <c r="K200">
        <f t="shared" si="29"/>
        <v>1</v>
      </c>
      <c r="L200">
        <f t="shared" si="30"/>
        <v>5.5555555555555558E-5</v>
      </c>
      <c r="M200" t="b">
        <f t="shared" si="31"/>
        <v>0</v>
      </c>
      <c r="N200" t="b">
        <f t="shared" si="32"/>
        <v>1</v>
      </c>
      <c r="O200" t="s">
        <v>22</v>
      </c>
      <c r="P200">
        <f t="shared" si="33"/>
        <v>0.33333333333333331</v>
      </c>
      <c r="Q200">
        <f t="shared" si="34"/>
        <v>0.75</v>
      </c>
      <c r="R200">
        <f t="shared" si="35"/>
        <v>0.5</v>
      </c>
    </row>
    <row r="201" spans="1:18">
      <c r="A201" t="s">
        <v>233</v>
      </c>
      <c r="B201" t="s">
        <v>102</v>
      </c>
      <c r="C201" t="str">
        <f t="shared" si="27"/>
        <v>Finance</v>
      </c>
      <c r="D201" t="s">
        <v>27</v>
      </c>
      <c r="E201" t="str">
        <f t="shared" si="28"/>
        <v>Technova</v>
      </c>
      <c r="F201">
        <v>7</v>
      </c>
      <c r="G201">
        <v>45000</v>
      </c>
      <c r="H201" s="1">
        <v>43752</v>
      </c>
      <c r="I201">
        <v>5</v>
      </c>
      <c r="J201" t="s">
        <v>57</v>
      </c>
      <c r="K201">
        <f t="shared" si="29"/>
        <v>2</v>
      </c>
      <c r="L201">
        <f t="shared" si="30"/>
        <v>4.4444444444444447E-5</v>
      </c>
      <c r="M201" t="b">
        <f t="shared" si="31"/>
        <v>0</v>
      </c>
      <c r="N201" t="b">
        <f t="shared" si="32"/>
        <v>1</v>
      </c>
      <c r="O201" t="s">
        <v>22</v>
      </c>
      <c r="P201">
        <f t="shared" si="33"/>
        <v>0.16666666666666666</v>
      </c>
      <c r="Q201">
        <f t="shared" si="34"/>
        <v>1</v>
      </c>
      <c r="R201">
        <f t="shared" si="35"/>
        <v>0.5</v>
      </c>
    </row>
    <row r="202" spans="1:18">
      <c r="A202" t="s">
        <v>234</v>
      </c>
      <c r="B202" t="s">
        <v>102</v>
      </c>
      <c r="C202" t="str">
        <f t="shared" si="27"/>
        <v>Finance</v>
      </c>
      <c r="D202" t="s">
        <v>20</v>
      </c>
      <c r="E202" t="str">
        <f t="shared" si="28"/>
        <v>Dataverse</v>
      </c>
      <c r="F202">
        <v>23</v>
      </c>
      <c r="G202">
        <v>45000</v>
      </c>
      <c r="H202" s="1">
        <v>41957</v>
      </c>
      <c r="I202">
        <v>5</v>
      </c>
      <c r="J202" t="s">
        <v>57</v>
      </c>
      <c r="K202">
        <f t="shared" si="29"/>
        <v>2</v>
      </c>
      <c r="L202">
        <f t="shared" si="30"/>
        <v>4.4444444444444447E-5</v>
      </c>
      <c r="M202" t="b">
        <f t="shared" si="31"/>
        <v>1</v>
      </c>
      <c r="N202" t="b">
        <f t="shared" si="32"/>
        <v>1</v>
      </c>
      <c r="O202" t="s">
        <v>22</v>
      </c>
      <c r="P202">
        <f t="shared" si="33"/>
        <v>0.16666666666666666</v>
      </c>
      <c r="Q202">
        <f t="shared" si="34"/>
        <v>1</v>
      </c>
      <c r="R202">
        <f t="shared" si="35"/>
        <v>0.5</v>
      </c>
    </row>
    <row r="203" spans="1:18">
      <c r="A203" t="s">
        <v>235</v>
      </c>
      <c r="B203" t="s">
        <v>102</v>
      </c>
      <c r="C203" t="str">
        <f t="shared" si="27"/>
        <v>Finance</v>
      </c>
      <c r="D203" t="s">
        <v>20</v>
      </c>
      <c r="E203" t="str">
        <f t="shared" si="28"/>
        <v>Dataverse</v>
      </c>
      <c r="F203">
        <v>16</v>
      </c>
      <c r="G203">
        <v>36000</v>
      </c>
      <c r="H203" s="1">
        <v>42318</v>
      </c>
      <c r="I203">
        <v>4</v>
      </c>
      <c r="J203" t="s">
        <v>57</v>
      </c>
      <c r="K203">
        <f t="shared" si="29"/>
        <v>2</v>
      </c>
      <c r="L203">
        <f t="shared" si="30"/>
        <v>5.5555555555555558E-5</v>
      </c>
      <c r="M203" t="b">
        <f t="shared" si="31"/>
        <v>1</v>
      </c>
      <c r="N203" t="b">
        <f t="shared" si="32"/>
        <v>1</v>
      </c>
      <c r="O203" t="s">
        <v>22</v>
      </c>
      <c r="P203">
        <f t="shared" si="33"/>
        <v>0.33333333333333331</v>
      </c>
      <c r="Q203">
        <f t="shared" si="34"/>
        <v>0.75</v>
      </c>
      <c r="R203">
        <f t="shared" si="35"/>
        <v>0.5</v>
      </c>
    </row>
    <row r="204" spans="1:18">
      <c r="A204" t="s">
        <v>236</v>
      </c>
      <c r="B204" t="s">
        <v>56</v>
      </c>
      <c r="C204" t="str">
        <f t="shared" si="27"/>
        <v>IT &amp; Systems</v>
      </c>
      <c r="D204" t="s">
        <v>20</v>
      </c>
      <c r="E204" t="str">
        <f t="shared" si="28"/>
        <v>Dataverse</v>
      </c>
      <c r="F204">
        <v>22</v>
      </c>
      <c r="G204">
        <v>45000</v>
      </c>
      <c r="H204" s="1">
        <v>42590</v>
      </c>
      <c r="I204">
        <v>5</v>
      </c>
      <c r="J204" t="s">
        <v>57</v>
      </c>
      <c r="K204">
        <f t="shared" si="29"/>
        <v>2</v>
      </c>
      <c r="L204">
        <f t="shared" si="30"/>
        <v>4.4444444444444447E-5</v>
      </c>
      <c r="M204" t="b">
        <f t="shared" si="31"/>
        <v>1</v>
      </c>
      <c r="N204" t="b">
        <f t="shared" si="32"/>
        <v>1</v>
      </c>
      <c r="O204" t="s">
        <v>22</v>
      </c>
      <c r="P204">
        <f t="shared" si="33"/>
        <v>0.16666666666666666</v>
      </c>
      <c r="Q204">
        <f t="shared" si="34"/>
        <v>1</v>
      </c>
      <c r="R204">
        <f t="shared" si="35"/>
        <v>0.5</v>
      </c>
    </row>
    <row r="205" spans="1:18">
      <c r="A205" t="s">
        <v>237</v>
      </c>
      <c r="B205" t="s">
        <v>19</v>
      </c>
      <c r="C205" t="str">
        <f t="shared" si="27"/>
        <v>Research &amp; Department</v>
      </c>
      <c r="D205" t="s">
        <v>27</v>
      </c>
      <c r="E205" t="str">
        <f t="shared" si="28"/>
        <v>Technova</v>
      </c>
      <c r="F205">
        <v>25</v>
      </c>
      <c r="G205">
        <v>15000</v>
      </c>
      <c r="H205" s="1">
        <v>39803</v>
      </c>
      <c r="I205">
        <v>3</v>
      </c>
      <c r="J205" t="s">
        <v>21</v>
      </c>
      <c r="K205">
        <f t="shared" si="29"/>
        <v>1</v>
      </c>
      <c r="L205">
        <f t="shared" si="30"/>
        <v>6.666666666666667E-5</v>
      </c>
      <c r="M205" t="b">
        <f t="shared" si="31"/>
        <v>1</v>
      </c>
      <c r="N205" t="b">
        <f t="shared" si="32"/>
        <v>1</v>
      </c>
      <c r="O205" t="s">
        <v>22</v>
      </c>
      <c r="P205">
        <f t="shared" si="33"/>
        <v>0.5</v>
      </c>
      <c r="Q205">
        <f t="shared" si="34"/>
        <v>0.5</v>
      </c>
      <c r="R205">
        <f t="shared" si="35"/>
        <v>0.5</v>
      </c>
    </row>
    <row r="206" spans="1:18">
      <c r="A206" t="s">
        <v>238</v>
      </c>
      <c r="B206" t="s">
        <v>56</v>
      </c>
      <c r="C206" t="str">
        <f t="shared" si="27"/>
        <v>IT &amp; Systems</v>
      </c>
      <c r="D206" t="s">
        <v>20</v>
      </c>
      <c r="E206" t="str">
        <f t="shared" si="28"/>
        <v>Dataverse</v>
      </c>
      <c r="F206">
        <v>1</v>
      </c>
      <c r="G206">
        <v>36000</v>
      </c>
      <c r="H206" s="1">
        <v>39338</v>
      </c>
      <c r="I206">
        <v>4</v>
      </c>
      <c r="J206" t="s">
        <v>57</v>
      </c>
      <c r="K206">
        <f t="shared" si="29"/>
        <v>2</v>
      </c>
      <c r="L206">
        <f t="shared" si="30"/>
        <v>5.5555555555555558E-5</v>
      </c>
      <c r="M206" t="b">
        <f t="shared" si="31"/>
        <v>0</v>
      </c>
      <c r="N206" t="b">
        <f t="shared" si="32"/>
        <v>0</v>
      </c>
      <c r="O206" t="s">
        <v>22</v>
      </c>
      <c r="P206">
        <f t="shared" si="33"/>
        <v>0.33333333333333331</v>
      </c>
      <c r="Q206">
        <f t="shared" si="34"/>
        <v>0.75</v>
      </c>
      <c r="R206">
        <f t="shared" si="35"/>
        <v>0.5</v>
      </c>
    </row>
    <row r="207" spans="1:18">
      <c r="A207" t="s">
        <v>239</v>
      </c>
      <c r="B207" t="s">
        <v>56</v>
      </c>
      <c r="C207" t="str">
        <f t="shared" si="27"/>
        <v>IT &amp; Systems</v>
      </c>
      <c r="D207" t="s">
        <v>27</v>
      </c>
      <c r="E207" t="str">
        <f t="shared" si="28"/>
        <v>Technova</v>
      </c>
      <c r="F207">
        <v>22</v>
      </c>
      <c r="G207">
        <v>36000</v>
      </c>
      <c r="H207" s="1">
        <v>43664</v>
      </c>
      <c r="I207">
        <v>4</v>
      </c>
      <c r="J207" t="s">
        <v>57</v>
      </c>
      <c r="K207">
        <f t="shared" si="29"/>
        <v>2</v>
      </c>
      <c r="L207">
        <f t="shared" si="30"/>
        <v>5.5555555555555558E-5</v>
      </c>
      <c r="M207" t="b">
        <f t="shared" si="31"/>
        <v>1</v>
      </c>
      <c r="N207" t="b">
        <f t="shared" si="32"/>
        <v>1</v>
      </c>
      <c r="O207" t="s">
        <v>22</v>
      </c>
      <c r="P207">
        <f t="shared" si="33"/>
        <v>0.33333333333333331</v>
      </c>
      <c r="Q207">
        <f t="shared" si="34"/>
        <v>0.75</v>
      </c>
      <c r="R207">
        <f t="shared" si="35"/>
        <v>0.5</v>
      </c>
    </row>
    <row r="208" spans="1:18">
      <c r="A208" t="s">
        <v>240</v>
      </c>
      <c r="B208" t="s">
        <v>56</v>
      </c>
      <c r="C208" t="str">
        <f t="shared" si="27"/>
        <v>IT &amp; Systems</v>
      </c>
      <c r="D208" t="s">
        <v>27</v>
      </c>
      <c r="E208" t="str">
        <f t="shared" si="28"/>
        <v>Technova</v>
      </c>
      <c r="F208">
        <v>23</v>
      </c>
      <c r="G208">
        <v>45000</v>
      </c>
      <c r="H208" s="1">
        <v>40397</v>
      </c>
      <c r="I208">
        <v>5</v>
      </c>
      <c r="J208" t="s">
        <v>57</v>
      </c>
      <c r="K208">
        <f t="shared" si="29"/>
        <v>2</v>
      </c>
      <c r="L208">
        <f t="shared" si="30"/>
        <v>4.4444444444444447E-5</v>
      </c>
      <c r="M208" t="b">
        <f t="shared" si="31"/>
        <v>1</v>
      </c>
      <c r="N208" t="b">
        <f t="shared" si="32"/>
        <v>1</v>
      </c>
      <c r="O208" t="s">
        <v>22</v>
      </c>
      <c r="P208">
        <f t="shared" si="33"/>
        <v>0.16666666666666666</v>
      </c>
      <c r="Q208">
        <f t="shared" si="34"/>
        <v>1</v>
      </c>
      <c r="R208">
        <f t="shared" si="35"/>
        <v>0.5</v>
      </c>
    </row>
    <row r="209" spans="1:18">
      <c r="A209" t="s">
        <v>241</v>
      </c>
      <c r="B209" t="s">
        <v>19</v>
      </c>
      <c r="C209" t="str">
        <f t="shared" si="27"/>
        <v>Research &amp; Department</v>
      </c>
      <c r="D209" t="s">
        <v>27</v>
      </c>
      <c r="E209" t="str">
        <f t="shared" si="28"/>
        <v>Technova</v>
      </c>
      <c r="F209">
        <v>9</v>
      </c>
      <c r="G209">
        <v>15000</v>
      </c>
      <c r="H209" s="1">
        <v>39054</v>
      </c>
      <c r="I209">
        <v>3</v>
      </c>
      <c r="J209" t="s">
        <v>21</v>
      </c>
      <c r="K209">
        <f t="shared" si="29"/>
        <v>1</v>
      </c>
      <c r="L209">
        <f t="shared" si="30"/>
        <v>6.666666666666667E-5</v>
      </c>
      <c r="M209" t="b">
        <f t="shared" si="31"/>
        <v>0</v>
      </c>
      <c r="N209" t="b">
        <f t="shared" si="32"/>
        <v>1</v>
      </c>
      <c r="O209" t="s">
        <v>22</v>
      </c>
      <c r="P209">
        <f t="shared" si="33"/>
        <v>0.5</v>
      </c>
      <c r="Q209">
        <f t="shared" si="34"/>
        <v>0.5</v>
      </c>
      <c r="R209">
        <f t="shared" si="35"/>
        <v>0.5</v>
      </c>
    </row>
    <row r="210" spans="1:18">
      <c r="A210" t="s">
        <v>242</v>
      </c>
      <c r="B210" t="s">
        <v>25</v>
      </c>
      <c r="C210" t="str">
        <f t="shared" si="27"/>
        <v>Sales &amp; Marketing</v>
      </c>
      <c r="D210" t="s">
        <v>27</v>
      </c>
      <c r="E210" t="str">
        <f t="shared" si="28"/>
        <v>Technova</v>
      </c>
      <c r="F210">
        <v>25</v>
      </c>
      <c r="G210">
        <v>18000</v>
      </c>
      <c r="H210" s="1">
        <v>44606</v>
      </c>
      <c r="I210">
        <v>4</v>
      </c>
      <c r="J210" t="s">
        <v>21</v>
      </c>
      <c r="K210">
        <f t="shared" si="29"/>
        <v>1</v>
      </c>
      <c r="L210">
        <f t="shared" si="30"/>
        <v>5.5555555555555558E-5</v>
      </c>
      <c r="M210" t="b">
        <f t="shared" si="31"/>
        <v>1</v>
      </c>
      <c r="N210" t="b">
        <f t="shared" si="32"/>
        <v>1</v>
      </c>
      <c r="O210" t="s">
        <v>22</v>
      </c>
      <c r="P210">
        <f t="shared" si="33"/>
        <v>0.33333333333333331</v>
      </c>
      <c r="Q210">
        <f t="shared" si="34"/>
        <v>0.75</v>
      </c>
      <c r="R210">
        <f t="shared" si="35"/>
        <v>0.5</v>
      </c>
    </row>
    <row r="211" spans="1:18">
      <c r="A211" t="s">
        <v>243</v>
      </c>
      <c r="B211" t="s">
        <v>60</v>
      </c>
      <c r="C211" t="str">
        <f t="shared" si="27"/>
        <v>Manufacturing and operations</v>
      </c>
      <c r="D211" t="s">
        <v>20</v>
      </c>
      <c r="E211" t="str">
        <f t="shared" si="28"/>
        <v>Dataverse</v>
      </c>
      <c r="F211">
        <v>8</v>
      </c>
      <c r="G211">
        <v>45000</v>
      </c>
      <c r="H211" s="1">
        <v>38511</v>
      </c>
      <c r="I211">
        <v>5</v>
      </c>
      <c r="J211" t="s">
        <v>57</v>
      </c>
      <c r="K211">
        <f t="shared" si="29"/>
        <v>2</v>
      </c>
      <c r="L211">
        <f t="shared" si="30"/>
        <v>4.4444444444444447E-5</v>
      </c>
      <c r="M211" t="b">
        <f t="shared" si="31"/>
        <v>0</v>
      </c>
      <c r="N211" t="b">
        <f t="shared" si="32"/>
        <v>1</v>
      </c>
      <c r="O211" t="s">
        <v>22</v>
      </c>
      <c r="P211">
        <f t="shared" si="33"/>
        <v>0.16666666666666666</v>
      </c>
      <c r="Q211">
        <f t="shared" si="34"/>
        <v>1</v>
      </c>
      <c r="R211">
        <f t="shared" si="35"/>
        <v>0.5</v>
      </c>
    </row>
    <row r="212" spans="1:18">
      <c r="A212" t="s">
        <v>244</v>
      </c>
      <c r="B212" t="s">
        <v>60</v>
      </c>
      <c r="C212" t="str">
        <f t="shared" si="27"/>
        <v>Manufacturing and operations</v>
      </c>
      <c r="D212" t="s">
        <v>27</v>
      </c>
      <c r="E212" t="str">
        <f t="shared" si="28"/>
        <v>Technova</v>
      </c>
      <c r="F212">
        <v>13</v>
      </c>
      <c r="G212">
        <v>45000</v>
      </c>
      <c r="H212" s="1">
        <v>43882</v>
      </c>
      <c r="I212">
        <v>5</v>
      </c>
      <c r="J212" t="s">
        <v>57</v>
      </c>
      <c r="K212">
        <f t="shared" si="29"/>
        <v>2</v>
      </c>
      <c r="L212">
        <f t="shared" si="30"/>
        <v>4.4444444444444447E-5</v>
      </c>
      <c r="M212" t="b">
        <f t="shared" si="31"/>
        <v>0</v>
      </c>
      <c r="N212" t="b">
        <f t="shared" si="32"/>
        <v>1</v>
      </c>
      <c r="O212" t="s">
        <v>22</v>
      </c>
      <c r="P212">
        <f t="shared" si="33"/>
        <v>0.16666666666666666</v>
      </c>
      <c r="Q212">
        <f t="shared" si="34"/>
        <v>1</v>
      </c>
      <c r="R212">
        <f t="shared" si="35"/>
        <v>0.5</v>
      </c>
    </row>
    <row r="213" spans="1:18">
      <c r="A213" t="s">
        <v>245</v>
      </c>
      <c r="B213" t="s">
        <v>25</v>
      </c>
      <c r="C213" t="str">
        <f t="shared" si="27"/>
        <v>Sales &amp; Marketing</v>
      </c>
      <c r="D213" t="s">
        <v>27</v>
      </c>
      <c r="E213" t="str">
        <f t="shared" si="28"/>
        <v>Technova</v>
      </c>
      <c r="F213">
        <v>8</v>
      </c>
      <c r="G213">
        <v>15000</v>
      </c>
      <c r="H213" s="1">
        <v>43738</v>
      </c>
      <c r="I213">
        <v>3</v>
      </c>
      <c r="J213" t="s">
        <v>21</v>
      </c>
      <c r="K213">
        <f t="shared" si="29"/>
        <v>1</v>
      </c>
      <c r="L213">
        <f t="shared" si="30"/>
        <v>6.666666666666667E-5</v>
      </c>
      <c r="M213" t="b">
        <f t="shared" si="31"/>
        <v>0</v>
      </c>
      <c r="N213" t="b">
        <f t="shared" si="32"/>
        <v>1</v>
      </c>
      <c r="O213" t="s">
        <v>22</v>
      </c>
      <c r="P213">
        <f t="shared" si="33"/>
        <v>0.5</v>
      </c>
      <c r="Q213">
        <f t="shared" si="34"/>
        <v>0.5</v>
      </c>
      <c r="R213">
        <f t="shared" si="35"/>
        <v>0.5</v>
      </c>
    </row>
    <row r="214" spans="1:18">
      <c r="A214" t="s">
        <v>246</v>
      </c>
      <c r="B214" t="s">
        <v>25</v>
      </c>
      <c r="C214" t="str">
        <f t="shared" si="27"/>
        <v>Sales &amp; Marketing</v>
      </c>
      <c r="D214" t="s">
        <v>27</v>
      </c>
      <c r="E214" t="str">
        <f t="shared" si="28"/>
        <v>Technova</v>
      </c>
      <c r="F214">
        <v>9</v>
      </c>
      <c r="G214">
        <v>18000</v>
      </c>
      <c r="H214" s="1">
        <v>43078</v>
      </c>
      <c r="I214">
        <v>4</v>
      </c>
      <c r="J214" t="s">
        <v>21</v>
      </c>
      <c r="K214">
        <f t="shared" si="29"/>
        <v>1</v>
      </c>
      <c r="L214">
        <f t="shared" si="30"/>
        <v>5.5555555555555558E-5</v>
      </c>
      <c r="M214" t="b">
        <f t="shared" si="31"/>
        <v>0</v>
      </c>
      <c r="N214" t="b">
        <f t="shared" si="32"/>
        <v>1</v>
      </c>
      <c r="O214" t="s">
        <v>22</v>
      </c>
      <c r="P214">
        <f t="shared" si="33"/>
        <v>0.33333333333333331</v>
      </c>
      <c r="Q214">
        <f t="shared" si="34"/>
        <v>0.75</v>
      </c>
      <c r="R214">
        <f t="shared" si="35"/>
        <v>0.5</v>
      </c>
    </row>
    <row r="215" spans="1:18">
      <c r="A215" t="s">
        <v>247</v>
      </c>
      <c r="B215" t="s">
        <v>60</v>
      </c>
      <c r="C215" t="str">
        <f t="shared" si="27"/>
        <v>Manufacturing and operations</v>
      </c>
      <c r="D215" t="s">
        <v>20</v>
      </c>
      <c r="E215" t="str">
        <f t="shared" si="28"/>
        <v>Dataverse</v>
      </c>
      <c r="F215">
        <v>6</v>
      </c>
      <c r="G215">
        <v>45000</v>
      </c>
      <c r="H215" s="1">
        <v>44241</v>
      </c>
      <c r="I215">
        <v>5</v>
      </c>
      <c r="J215" t="s">
        <v>57</v>
      </c>
      <c r="K215">
        <f t="shared" si="29"/>
        <v>2</v>
      </c>
      <c r="L215">
        <f t="shared" si="30"/>
        <v>4.4444444444444447E-5</v>
      </c>
      <c r="M215" t="b">
        <f t="shared" si="31"/>
        <v>0</v>
      </c>
      <c r="N215" t="b">
        <f t="shared" si="32"/>
        <v>1</v>
      </c>
      <c r="O215" t="s">
        <v>22</v>
      </c>
      <c r="P215">
        <f t="shared" si="33"/>
        <v>0.16666666666666666</v>
      </c>
      <c r="Q215">
        <f t="shared" si="34"/>
        <v>1</v>
      </c>
      <c r="R215">
        <f t="shared" si="35"/>
        <v>0.5</v>
      </c>
    </row>
    <row r="216" spans="1:18">
      <c r="A216" t="s">
        <v>248</v>
      </c>
      <c r="B216" t="s">
        <v>60</v>
      </c>
      <c r="C216" t="str">
        <f t="shared" si="27"/>
        <v>Manufacturing and operations</v>
      </c>
      <c r="D216" t="s">
        <v>20</v>
      </c>
      <c r="E216" t="str">
        <f t="shared" si="28"/>
        <v>Dataverse</v>
      </c>
      <c r="F216">
        <v>10</v>
      </c>
      <c r="G216">
        <v>45000</v>
      </c>
      <c r="H216" s="1">
        <v>39612</v>
      </c>
      <c r="I216">
        <v>5</v>
      </c>
      <c r="J216" t="s">
        <v>57</v>
      </c>
      <c r="K216">
        <f t="shared" si="29"/>
        <v>2</v>
      </c>
      <c r="L216">
        <f t="shared" si="30"/>
        <v>4.4444444444444447E-5</v>
      </c>
      <c r="M216" t="b">
        <f t="shared" si="31"/>
        <v>0</v>
      </c>
      <c r="N216" t="b">
        <f t="shared" si="32"/>
        <v>1</v>
      </c>
      <c r="O216" t="s">
        <v>22</v>
      </c>
      <c r="P216">
        <f t="shared" si="33"/>
        <v>0.16666666666666666</v>
      </c>
      <c r="Q216">
        <f t="shared" si="34"/>
        <v>1</v>
      </c>
      <c r="R216">
        <f t="shared" si="35"/>
        <v>0.5</v>
      </c>
    </row>
    <row r="217" spans="1:18">
      <c r="A217" t="s">
        <v>249</v>
      </c>
      <c r="B217" t="s">
        <v>60</v>
      </c>
      <c r="C217" t="str">
        <f t="shared" si="27"/>
        <v>Manufacturing and operations</v>
      </c>
      <c r="D217" t="s">
        <v>20</v>
      </c>
      <c r="E217" t="str">
        <f t="shared" si="28"/>
        <v>Dataverse</v>
      </c>
      <c r="F217">
        <v>24</v>
      </c>
      <c r="G217">
        <v>36000</v>
      </c>
      <c r="H217" s="1">
        <v>42671</v>
      </c>
      <c r="I217">
        <v>4</v>
      </c>
      <c r="J217" t="s">
        <v>57</v>
      </c>
      <c r="K217">
        <f t="shared" si="29"/>
        <v>2</v>
      </c>
      <c r="L217">
        <f t="shared" si="30"/>
        <v>5.5555555555555558E-5</v>
      </c>
      <c r="M217" t="b">
        <f t="shared" si="31"/>
        <v>1</v>
      </c>
      <c r="N217" t="b">
        <f t="shared" si="32"/>
        <v>1</v>
      </c>
      <c r="O217" t="s">
        <v>22</v>
      </c>
      <c r="P217">
        <f t="shared" si="33"/>
        <v>0.33333333333333331</v>
      </c>
      <c r="Q217">
        <f t="shared" si="34"/>
        <v>0.75</v>
      </c>
      <c r="R217">
        <f t="shared" si="35"/>
        <v>0.5</v>
      </c>
    </row>
    <row r="218" spans="1:18">
      <c r="A218" t="s">
        <v>250</v>
      </c>
      <c r="B218" t="s">
        <v>60</v>
      </c>
      <c r="C218" t="str">
        <f t="shared" si="27"/>
        <v>Manufacturing and operations</v>
      </c>
      <c r="D218" t="s">
        <v>20</v>
      </c>
      <c r="E218" t="str">
        <f t="shared" si="28"/>
        <v>Dataverse</v>
      </c>
      <c r="F218">
        <v>1</v>
      </c>
      <c r="G218">
        <v>45000</v>
      </c>
      <c r="H218" s="1">
        <v>41870</v>
      </c>
      <c r="I218">
        <v>5</v>
      </c>
      <c r="J218" t="s">
        <v>57</v>
      </c>
      <c r="K218">
        <f t="shared" si="29"/>
        <v>2</v>
      </c>
      <c r="L218">
        <f t="shared" si="30"/>
        <v>4.4444444444444447E-5</v>
      </c>
      <c r="M218" t="b">
        <f t="shared" si="31"/>
        <v>0</v>
      </c>
      <c r="N218" t="b">
        <f t="shared" si="32"/>
        <v>0</v>
      </c>
      <c r="O218" t="s">
        <v>22</v>
      </c>
      <c r="P218">
        <f t="shared" si="33"/>
        <v>0.16666666666666666</v>
      </c>
      <c r="Q218">
        <f t="shared" si="34"/>
        <v>1</v>
      </c>
      <c r="R218">
        <f t="shared" si="35"/>
        <v>0.5</v>
      </c>
    </row>
    <row r="219" spans="1:18">
      <c r="A219" t="s">
        <v>251</v>
      </c>
      <c r="B219" t="s">
        <v>224</v>
      </c>
      <c r="C219" t="str">
        <f t="shared" si="27"/>
        <v>Business Strategy</v>
      </c>
      <c r="D219" t="s">
        <v>27</v>
      </c>
      <c r="E219" t="str">
        <f t="shared" si="28"/>
        <v>Technova</v>
      </c>
      <c r="F219">
        <v>21</v>
      </c>
      <c r="G219">
        <v>68000</v>
      </c>
      <c r="H219" s="1">
        <v>42290</v>
      </c>
      <c r="I219">
        <v>5</v>
      </c>
      <c r="J219" t="s">
        <v>174</v>
      </c>
      <c r="K219">
        <f t="shared" si="29"/>
        <v>3</v>
      </c>
      <c r="L219">
        <f t="shared" si="30"/>
        <v>4.4117647058823532E-5</v>
      </c>
      <c r="M219" t="b">
        <f t="shared" si="31"/>
        <v>1</v>
      </c>
      <c r="N219" t="b">
        <f t="shared" si="32"/>
        <v>1</v>
      </c>
      <c r="O219" t="s">
        <v>22</v>
      </c>
      <c r="P219">
        <f t="shared" si="33"/>
        <v>0.16176470588235295</v>
      </c>
      <c r="Q219">
        <f t="shared" si="34"/>
        <v>1</v>
      </c>
      <c r="R219">
        <f t="shared" si="35"/>
        <v>0.49705882352941178</v>
      </c>
    </row>
    <row r="220" spans="1:18">
      <c r="A220" t="s">
        <v>252</v>
      </c>
      <c r="B220" t="s">
        <v>70</v>
      </c>
      <c r="C220" t="str">
        <f t="shared" si="27"/>
        <v>Customer Experience</v>
      </c>
      <c r="D220" t="s">
        <v>20</v>
      </c>
      <c r="E220" t="str">
        <f t="shared" si="28"/>
        <v>Dataverse</v>
      </c>
      <c r="F220">
        <v>14</v>
      </c>
      <c r="G220">
        <v>46000</v>
      </c>
      <c r="H220" s="1">
        <v>45364</v>
      </c>
      <c r="I220">
        <v>5</v>
      </c>
      <c r="J220" t="s">
        <v>57</v>
      </c>
      <c r="K220">
        <f t="shared" si="29"/>
        <v>2</v>
      </c>
      <c r="L220">
        <f t="shared" si="30"/>
        <v>4.347826086956522E-5</v>
      </c>
      <c r="M220" t="b">
        <f t="shared" si="31"/>
        <v>0</v>
      </c>
      <c r="N220" t="b">
        <f t="shared" si="32"/>
        <v>1</v>
      </c>
      <c r="O220" t="s">
        <v>22</v>
      </c>
      <c r="P220">
        <f t="shared" si="33"/>
        <v>0.15217391304347827</v>
      </c>
      <c r="Q220">
        <f t="shared" si="34"/>
        <v>1</v>
      </c>
      <c r="R220">
        <f t="shared" si="35"/>
        <v>0.49130434782608701</v>
      </c>
    </row>
    <row r="221" spans="1:18">
      <c r="A221" t="s">
        <v>253</v>
      </c>
      <c r="B221" t="s">
        <v>102</v>
      </c>
      <c r="C221" t="str">
        <f t="shared" si="27"/>
        <v>Finance</v>
      </c>
      <c r="D221" t="s">
        <v>20</v>
      </c>
      <c r="E221" t="str">
        <f t="shared" si="28"/>
        <v>Dataverse</v>
      </c>
      <c r="F221">
        <v>12</v>
      </c>
      <c r="G221">
        <v>46000</v>
      </c>
      <c r="H221" s="1">
        <v>43721</v>
      </c>
      <c r="I221">
        <v>5</v>
      </c>
      <c r="J221" t="s">
        <v>57</v>
      </c>
      <c r="K221">
        <f t="shared" si="29"/>
        <v>2</v>
      </c>
      <c r="L221">
        <f t="shared" si="30"/>
        <v>4.347826086956522E-5</v>
      </c>
      <c r="M221" t="b">
        <f t="shared" si="31"/>
        <v>0</v>
      </c>
      <c r="N221" t="b">
        <f t="shared" si="32"/>
        <v>1</v>
      </c>
      <c r="O221" t="s">
        <v>22</v>
      </c>
      <c r="P221">
        <f t="shared" si="33"/>
        <v>0.15217391304347827</v>
      </c>
      <c r="Q221">
        <f t="shared" si="34"/>
        <v>1</v>
      </c>
      <c r="R221">
        <f t="shared" si="35"/>
        <v>0.49130434782608701</v>
      </c>
    </row>
    <row r="222" spans="1:18">
      <c r="A222" t="s">
        <v>254</v>
      </c>
      <c r="B222" t="s">
        <v>56</v>
      </c>
      <c r="C222" t="str">
        <f t="shared" si="27"/>
        <v>IT &amp; Systems</v>
      </c>
      <c r="D222" t="s">
        <v>27</v>
      </c>
      <c r="E222" t="str">
        <f t="shared" si="28"/>
        <v>Technova</v>
      </c>
      <c r="F222">
        <v>22</v>
      </c>
      <c r="G222">
        <v>46000</v>
      </c>
      <c r="H222" s="1">
        <v>39771</v>
      </c>
      <c r="I222">
        <v>5</v>
      </c>
      <c r="J222" t="s">
        <v>57</v>
      </c>
      <c r="K222">
        <f t="shared" si="29"/>
        <v>2</v>
      </c>
      <c r="L222">
        <f t="shared" si="30"/>
        <v>4.347826086956522E-5</v>
      </c>
      <c r="M222" t="b">
        <f t="shared" si="31"/>
        <v>1</v>
      </c>
      <c r="N222" t="b">
        <f t="shared" si="32"/>
        <v>1</v>
      </c>
      <c r="O222" t="s">
        <v>22</v>
      </c>
      <c r="P222">
        <f t="shared" si="33"/>
        <v>0.15217391304347827</v>
      </c>
      <c r="Q222">
        <f t="shared" si="34"/>
        <v>1</v>
      </c>
      <c r="R222">
        <f t="shared" si="35"/>
        <v>0.49130434782608701</v>
      </c>
    </row>
    <row r="223" spans="1:18">
      <c r="A223" t="s">
        <v>255</v>
      </c>
      <c r="B223" t="s">
        <v>25</v>
      </c>
      <c r="C223" t="str">
        <f t="shared" si="27"/>
        <v>Sales &amp; Marketing</v>
      </c>
      <c r="D223" t="s">
        <v>20</v>
      </c>
      <c r="E223" t="str">
        <f t="shared" si="28"/>
        <v>Dataverse</v>
      </c>
      <c r="F223">
        <v>24</v>
      </c>
      <c r="G223">
        <v>23000</v>
      </c>
      <c r="H223" s="1">
        <v>40916</v>
      </c>
      <c r="I223">
        <v>5</v>
      </c>
      <c r="J223" t="s">
        <v>21</v>
      </c>
      <c r="K223">
        <f t="shared" si="29"/>
        <v>1</v>
      </c>
      <c r="L223">
        <f t="shared" si="30"/>
        <v>4.347826086956522E-5</v>
      </c>
      <c r="M223" t="b">
        <f t="shared" si="31"/>
        <v>1</v>
      </c>
      <c r="N223" t="b">
        <f t="shared" si="32"/>
        <v>1</v>
      </c>
      <c r="O223" t="s">
        <v>22</v>
      </c>
      <c r="P223">
        <f t="shared" si="33"/>
        <v>0.15217391304347827</v>
      </c>
      <c r="Q223">
        <f t="shared" si="34"/>
        <v>1</v>
      </c>
      <c r="R223">
        <f t="shared" si="35"/>
        <v>0.49130434782608701</v>
      </c>
    </row>
    <row r="224" spans="1:18">
      <c r="A224" t="s">
        <v>256</v>
      </c>
      <c r="B224" t="s">
        <v>60</v>
      </c>
      <c r="C224" t="str">
        <f t="shared" si="27"/>
        <v>Manufacturing and operations</v>
      </c>
      <c r="D224" t="s">
        <v>27</v>
      </c>
      <c r="E224" t="str">
        <f t="shared" si="28"/>
        <v>Technova</v>
      </c>
      <c r="F224">
        <v>15</v>
      </c>
      <c r="G224">
        <v>46000</v>
      </c>
      <c r="H224" s="1">
        <v>43752</v>
      </c>
      <c r="I224">
        <v>5</v>
      </c>
      <c r="J224" t="s">
        <v>57</v>
      </c>
      <c r="K224">
        <f t="shared" si="29"/>
        <v>2</v>
      </c>
      <c r="L224">
        <f t="shared" si="30"/>
        <v>4.347826086956522E-5</v>
      </c>
      <c r="M224" t="b">
        <f t="shared" si="31"/>
        <v>0</v>
      </c>
      <c r="N224" t="b">
        <f t="shared" si="32"/>
        <v>1</v>
      </c>
      <c r="O224" t="s">
        <v>22</v>
      </c>
      <c r="P224">
        <f t="shared" si="33"/>
        <v>0.15217391304347827</v>
      </c>
      <c r="Q224">
        <f t="shared" si="34"/>
        <v>1</v>
      </c>
      <c r="R224">
        <f t="shared" si="35"/>
        <v>0.49130434782608701</v>
      </c>
    </row>
    <row r="225" spans="1:18">
      <c r="A225" t="s">
        <v>257</v>
      </c>
      <c r="B225" t="s">
        <v>60</v>
      </c>
      <c r="C225" t="str">
        <f t="shared" si="27"/>
        <v>Manufacturing and operations</v>
      </c>
      <c r="D225" t="s">
        <v>20</v>
      </c>
      <c r="E225" t="str">
        <f t="shared" si="28"/>
        <v>Dataverse</v>
      </c>
      <c r="F225">
        <v>10</v>
      </c>
      <c r="G225">
        <v>46000</v>
      </c>
      <c r="H225" s="1">
        <v>39047</v>
      </c>
      <c r="I225">
        <v>5</v>
      </c>
      <c r="J225" t="s">
        <v>57</v>
      </c>
      <c r="K225">
        <f t="shared" si="29"/>
        <v>2</v>
      </c>
      <c r="L225">
        <f t="shared" si="30"/>
        <v>4.347826086956522E-5</v>
      </c>
      <c r="M225" t="b">
        <f t="shared" si="31"/>
        <v>0</v>
      </c>
      <c r="N225" t="b">
        <f t="shared" si="32"/>
        <v>1</v>
      </c>
      <c r="O225" t="s">
        <v>22</v>
      </c>
      <c r="P225">
        <f t="shared" si="33"/>
        <v>0.15217391304347827</v>
      </c>
      <c r="Q225">
        <f t="shared" si="34"/>
        <v>1</v>
      </c>
      <c r="R225">
        <f t="shared" si="35"/>
        <v>0.49130434782608701</v>
      </c>
    </row>
    <row r="226" spans="1:18">
      <c r="A226" t="s">
        <v>258</v>
      </c>
      <c r="B226" t="s">
        <v>102</v>
      </c>
      <c r="C226" t="str">
        <f t="shared" si="27"/>
        <v>Finance</v>
      </c>
      <c r="D226" t="s">
        <v>27</v>
      </c>
      <c r="E226" t="str">
        <f t="shared" si="28"/>
        <v>Technova</v>
      </c>
      <c r="F226">
        <v>22</v>
      </c>
      <c r="G226">
        <v>37000</v>
      </c>
      <c r="H226" s="1">
        <v>42315</v>
      </c>
      <c r="I226">
        <v>4</v>
      </c>
      <c r="J226" t="s">
        <v>57</v>
      </c>
      <c r="K226">
        <f t="shared" si="29"/>
        <v>2</v>
      </c>
      <c r="L226">
        <f t="shared" si="30"/>
        <v>5.4054054054054054E-5</v>
      </c>
      <c r="M226" t="b">
        <f t="shared" si="31"/>
        <v>1</v>
      </c>
      <c r="N226" t="b">
        <f t="shared" si="32"/>
        <v>1</v>
      </c>
      <c r="O226" t="s">
        <v>22</v>
      </c>
      <c r="P226">
        <f t="shared" si="33"/>
        <v>0.31081081081081074</v>
      </c>
      <c r="Q226">
        <f t="shared" si="34"/>
        <v>0.75</v>
      </c>
      <c r="R226">
        <f t="shared" si="35"/>
        <v>0.48648648648648651</v>
      </c>
    </row>
    <row r="227" spans="1:18">
      <c r="A227" t="s">
        <v>259</v>
      </c>
      <c r="B227" t="s">
        <v>74</v>
      </c>
      <c r="C227" t="str">
        <f t="shared" si="27"/>
        <v>Human Resources</v>
      </c>
      <c r="D227" t="s">
        <v>20</v>
      </c>
      <c r="E227" t="str">
        <f t="shared" si="28"/>
        <v>Dataverse</v>
      </c>
      <c r="F227">
        <v>20</v>
      </c>
      <c r="G227">
        <v>37000</v>
      </c>
      <c r="H227" s="1">
        <v>41470</v>
      </c>
      <c r="I227">
        <v>4</v>
      </c>
      <c r="J227" t="s">
        <v>57</v>
      </c>
      <c r="K227">
        <f t="shared" si="29"/>
        <v>2</v>
      </c>
      <c r="L227">
        <f t="shared" si="30"/>
        <v>5.4054054054054054E-5</v>
      </c>
      <c r="M227" t="b">
        <f t="shared" si="31"/>
        <v>1</v>
      </c>
      <c r="N227" t="b">
        <f t="shared" si="32"/>
        <v>1</v>
      </c>
      <c r="O227" t="s">
        <v>22</v>
      </c>
      <c r="P227">
        <f t="shared" si="33"/>
        <v>0.31081081081081074</v>
      </c>
      <c r="Q227">
        <f t="shared" si="34"/>
        <v>0.75</v>
      </c>
      <c r="R227">
        <f t="shared" si="35"/>
        <v>0.48648648648648651</v>
      </c>
    </row>
    <row r="228" spans="1:18">
      <c r="A228" t="s">
        <v>260</v>
      </c>
      <c r="B228" t="s">
        <v>60</v>
      </c>
      <c r="C228" t="str">
        <f t="shared" si="27"/>
        <v>Manufacturing and operations</v>
      </c>
      <c r="D228" t="s">
        <v>20</v>
      </c>
      <c r="E228" t="str">
        <f t="shared" si="28"/>
        <v>Dataverse</v>
      </c>
      <c r="F228">
        <v>24</v>
      </c>
      <c r="G228">
        <v>37000</v>
      </c>
      <c r="H228" s="1">
        <v>41660</v>
      </c>
      <c r="I228">
        <v>4</v>
      </c>
      <c r="J228" t="s">
        <v>57</v>
      </c>
      <c r="K228">
        <f t="shared" si="29"/>
        <v>2</v>
      </c>
      <c r="L228">
        <f t="shared" si="30"/>
        <v>5.4054054054054054E-5</v>
      </c>
      <c r="M228" t="b">
        <f t="shared" si="31"/>
        <v>1</v>
      </c>
      <c r="N228" t="b">
        <f t="shared" si="32"/>
        <v>1</v>
      </c>
      <c r="O228" t="s">
        <v>22</v>
      </c>
      <c r="P228">
        <f t="shared" si="33"/>
        <v>0.31081081081081074</v>
      </c>
      <c r="Q228">
        <f t="shared" si="34"/>
        <v>0.75</v>
      </c>
      <c r="R228">
        <f t="shared" si="35"/>
        <v>0.48648648648648651</v>
      </c>
    </row>
    <row r="229" spans="1:18">
      <c r="A229" t="s">
        <v>261</v>
      </c>
      <c r="B229" t="s">
        <v>60</v>
      </c>
      <c r="C229" t="str">
        <f t="shared" si="27"/>
        <v>Manufacturing and operations</v>
      </c>
      <c r="D229" t="s">
        <v>27</v>
      </c>
      <c r="E229" t="str">
        <f t="shared" si="28"/>
        <v>Technova</v>
      </c>
      <c r="F229">
        <v>11</v>
      </c>
      <c r="G229">
        <v>37000</v>
      </c>
      <c r="H229" s="1">
        <v>43263</v>
      </c>
      <c r="I229">
        <v>4</v>
      </c>
      <c r="J229" t="s">
        <v>57</v>
      </c>
      <c r="K229">
        <f t="shared" si="29"/>
        <v>2</v>
      </c>
      <c r="L229">
        <f t="shared" si="30"/>
        <v>5.4054054054054054E-5</v>
      </c>
      <c r="M229" t="b">
        <f t="shared" si="31"/>
        <v>0</v>
      </c>
      <c r="N229" t="b">
        <f t="shared" si="32"/>
        <v>1</v>
      </c>
      <c r="O229" t="s">
        <v>22</v>
      </c>
      <c r="P229">
        <f t="shared" si="33"/>
        <v>0.31081081081081074</v>
      </c>
      <c r="Q229">
        <f t="shared" si="34"/>
        <v>0.75</v>
      </c>
      <c r="R229">
        <f t="shared" si="35"/>
        <v>0.48648648648648651</v>
      </c>
    </row>
    <row r="230" spans="1:18">
      <c r="A230" t="s">
        <v>262</v>
      </c>
      <c r="B230" t="s">
        <v>60</v>
      </c>
      <c r="C230" t="str">
        <f t="shared" si="27"/>
        <v>Manufacturing and operations</v>
      </c>
      <c r="D230" t="s">
        <v>20</v>
      </c>
      <c r="E230" t="str">
        <f t="shared" si="28"/>
        <v>Dataverse</v>
      </c>
      <c r="F230">
        <v>11</v>
      </c>
      <c r="G230">
        <v>37000</v>
      </c>
      <c r="H230" s="1">
        <v>42263</v>
      </c>
      <c r="I230">
        <v>4</v>
      </c>
      <c r="J230" t="s">
        <v>57</v>
      </c>
      <c r="K230">
        <f t="shared" si="29"/>
        <v>2</v>
      </c>
      <c r="L230">
        <f t="shared" si="30"/>
        <v>5.4054054054054054E-5</v>
      </c>
      <c r="M230" t="b">
        <f t="shared" si="31"/>
        <v>0</v>
      </c>
      <c r="N230" t="b">
        <f t="shared" si="32"/>
        <v>1</v>
      </c>
      <c r="O230" t="s">
        <v>22</v>
      </c>
      <c r="P230">
        <f t="shared" si="33"/>
        <v>0.31081081081081074</v>
      </c>
      <c r="Q230">
        <f t="shared" si="34"/>
        <v>0.75</v>
      </c>
      <c r="R230">
        <f t="shared" si="35"/>
        <v>0.48648648648648651</v>
      </c>
    </row>
    <row r="231" spans="1:18">
      <c r="A231" t="s">
        <v>263</v>
      </c>
      <c r="B231" t="s">
        <v>204</v>
      </c>
      <c r="C231" t="str">
        <f t="shared" si="27"/>
        <v>Administrative Services</v>
      </c>
      <c r="D231" t="s">
        <v>20</v>
      </c>
      <c r="E231" t="str">
        <f t="shared" si="28"/>
        <v>Dataverse</v>
      </c>
      <c r="F231">
        <v>9</v>
      </c>
      <c r="G231">
        <v>70000</v>
      </c>
      <c r="H231" s="1">
        <v>42118</v>
      </c>
      <c r="I231">
        <v>5</v>
      </c>
      <c r="J231" t="s">
        <v>174</v>
      </c>
      <c r="K231">
        <f t="shared" si="29"/>
        <v>3</v>
      </c>
      <c r="L231">
        <f t="shared" si="30"/>
        <v>4.2857142857142856E-5</v>
      </c>
      <c r="M231" t="b">
        <f t="shared" si="31"/>
        <v>0</v>
      </c>
      <c r="N231" t="b">
        <f t="shared" si="32"/>
        <v>1</v>
      </c>
      <c r="O231" t="s">
        <v>22</v>
      </c>
      <c r="P231">
        <f t="shared" si="33"/>
        <v>0.14285714285714282</v>
      </c>
      <c r="Q231">
        <f t="shared" si="34"/>
        <v>1</v>
      </c>
      <c r="R231">
        <f t="shared" si="35"/>
        <v>0.48571428571428571</v>
      </c>
    </row>
    <row r="232" spans="1:18">
      <c r="A232" t="s">
        <v>264</v>
      </c>
      <c r="B232" t="s">
        <v>224</v>
      </c>
      <c r="C232" t="str">
        <f t="shared" si="27"/>
        <v>Business Strategy</v>
      </c>
      <c r="D232" t="s">
        <v>20</v>
      </c>
      <c r="E232" t="str">
        <f t="shared" si="28"/>
        <v>Dataverse</v>
      </c>
      <c r="F232">
        <v>17</v>
      </c>
      <c r="G232">
        <v>70000</v>
      </c>
      <c r="H232" s="1">
        <v>39242</v>
      </c>
      <c r="I232">
        <v>5</v>
      </c>
      <c r="J232" t="s">
        <v>174</v>
      </c>
      <c r="K232">
        <f t="shared" si="29"/>
        <v>3</v>
      </c>
      <c r="L232">
        <f t="shared" si="30"/>
        <v>4.2857142857142856E-5</v>
      </c>
      <c r="M232" t="b">
        <f t="shared" si="31"/>
        <v>1</v>
      </c>
      <c r="N232" t="b">
        <f t="shared" si="32"/>
        <v>1</v>
      </c>
      <c r="O232" t="s">
        <v>22</v>
      </c>
      <c r="P232">
        <f t="shared" si="33"/>
        <v>0.14285714285714282</v>
      </c>
      <c r="Q232">
        <f t="shared" si="34"/>
        <v>1</v>
      </c>
      <c r="R232">
        <f t="shared" si="35"/>
        <v>0.48571428571428571</v>
      </c>
    </row>
    <row r="233" spans="1:18">
      <c r="A233" t="s">
        <v>265</v>
      </c>
      <c r="B233" t="s">
        <v>60</v>
      </c>
      <c r="C233" t="str">
        <f t="shared" si="27"/>
        <v>Manufacturing and operations</v>
      </c>
      <c r="D233" t="s">
        <v>27</v>
      </c>
      <c r="E233" t="str">
        <f t="shared" si="28"/>
        <v>Technova</v>
      </c>
      <c r="F233">
        <v>17</v>
      </c>
      <c r="G233">
        <v>47000</v>
      </c>
      <c r="H233" s="1">
        <v>38654</v>
      </c>
      <c r="I233">
        <v>5</v>
      </c>
      <c r="J233" t="s">
        <v>57</v>
      </c>
      <c r="K233">
        <f t="shared" si="29"/>
        <v>2</v>
      </c>
      <c r="L233">
        <f t="shared" si="30"/>
        <v>4.2553191489361704E-5</v>
      </c>
      <c r="M233" t="b">
        <f t="shared" si="31"/>
        <v>1</v>
      </c>
      <c r="N233" t="b">
        <f t="shared" si="32"/>
        <v>1</v>
      </c>
      <c r="O233" t="s">
        <v>22</v>
      </c>
      <c r="P233">
        <f t="shared" si="33"/>
        <v>0.13829787234042554</v>
      </c>
      <c r="Q233">
        <f t="shared" si="34"/>
        <v>1</v>
      </c>
      <c r="R233">
        <f t="shared" si="35"/>
        <v>0.48297872340425535</v>
      </c>
    </row>
    <row r="234" spans="1:18">
      <c r="A234" t="s">
        <v>266</v>
      </c>
      <c r="B234" t="s">
        <v>60</v>
      </c>
      <c r="C234" t="str">
        <f t="shared" si="27"/>
        <v>Manufacturing and operations</v>
      </c>
      <c r="D234" t="s">
        <v>20</v>
      </c>
      <c r="E234" t="str">
        <f t="shared" si="28"/>
        <v>Dataverse</v>
      </c>
      <c r="F234">
        <v>11</v>
      </c>
      <c r="G234">
        <v>47000</v>
      </c>
      <c r="H234" s="1">
        <v>40581</v>
      </c>
      <c r="I234">
        <v>5</v>
      </c>
      <c r="J234" t="s">
        <v>57</v>
      </c>
      <c r="K234">
        <f t="shared" si="29"/>
        <v>2</v>
      </c>
      <c r="L234">
        <f t="shared" si="30"/>
        <v>4.2553191489361704E-5</v>
      </c>
      <c r="M234" t="b">
        <f t="shared" si="31"/>
        <v>0</v>
      </c>
      <c r="N234" t="b">
        <f t="shared" si="32"/>
        <v>1</v>
      </c>
      <c r="O234" t="s">
        <v>22</v>
      </c>
      <c r="P234">
        <f t="shared" si="33"/>
        <v>0.13829787234042554</v>
      </c>
      <c r="Q234">
        <f t="shared" si="34"/>
        <v>1</v>
      </c>
      <c r="R234">
        <f t="shared" si="35"/>
        <v>0.48297872340425535</v>
      </c>
    </row>
    <row r="235" spans="1:18">
      <c r="A235" t="s">
        <v>267</v>
      </c>
      <c r="B235" t="s">
        <v>60</v>
      </c>
      <c r="C235" t="str">
        <f t="shared" si="27"/>
        <v>Manufacturing and operations</v>
      </c>
      <c r="D235" t="s">
        <v>20</v>
      </c>
      <c r="E235" t="str">
        <f t="shared" si="28"/>
        <v>Dataverse</v>
      </c>
      <c r="F235">
        <v>13</v>
      </c>
      <c r="G235">
        <v>47000</v>
      </c>
      <c r="H235" s="1">
        <v>40856</v>
      </c>
      <c r="I235">
        <v>5</v>
      </c>
      <c r="J235" t="s">
        <v>57</v>
      </c>
      <c r="K235">
        <f t="shared" si="29"/>
        <v>2</v>
      </c>
      <c r="L235">
        <f t="shared" si="30"/>
        <v>4.2553191489361704E-5</v>
      </c>
      <c r="M235" t="b">
        <f t="shared" si="31"/>
        <v>0</v>
      </c>
      <c r="N235" t="b">
        <f t="shared" si="32"/>
        <v>1</v>
      </c>
      <c r="O235" t="s">
        <v>22</v>
      </c>
      <c r="P235">
        <f t="shared" si="33"/>
        <v>0.13829787234042554</v>
      </c>
      <c r="Q235">
        <f t="shared" si="34"/>
        <v>1</v>
      </c>
      <c r="R235">
        <f t="shared" si="35"/>
        <v>0.48297872340425535</v>
      </c>
    </row>
    <row r="236" spans="1:18">
      <c r="A236" t="s">
        <v>268</v>
      </c>
      <c r="B236" t="s">
        <v>60</v>
      </c>
      <c r="C236" t="str">
        <f t="shared" si="27"/>
        <v>Manufacturing and operations</v>
      </c>
      <c r="D236" t="s">
        <v>20</v>
      </c>
      <c r="E236" t="str">
        <f t="shared" si="28"/>
        <v>Dataverse</v>
      </c>
      <c r="F236">
        <v>21</v>
      </c>
      <c r="G236">
        <v>47000</v>
      </c>
      <c r="H236" s="1">
        <v>39785</v>
      </c>
      <c r="I236">
        <v>5</v>
      </c>
      <c r="J236" t="s">
        <v>57</v>
      </c>
      <c r="K236">
        <f t="shared" si="29"/>
        <v>2</v>
      </c>
      <c r="L236">
        <f t="shared" si="30"/>
        <v>4.2553191489361704E-5</v>
      </c>
      <c r="M236" t="b">
        <f t="shared" si="31"/>
        <v>1</v>
      </c>
      <c r="N236" t="b">
        <f t="shared" si="32"/>
        <v>1</v>
      </c>
      <c r="O236" t="s">
        <v>22</v>
      </c>
      <c r="P236">
        <f t="shared" si="33"/>
        <v>0.13829787234042554</v>
      </c>
      <c r="Q236">
        <f t="shared" si="34"/>
        <v>1</v>
      </c>
      <c r="R236">
        <f t="shared" si="35"/>
        <v>0.48297872340425535</v>
      </c>
    </row>
    <row r="237" spans="1:18">
      <c r="A237" t="s">
        <v>269</v>
      </c>
      <c r="B237" t="s">
        <v>60</v>
      </c>
      <c r="C237" t="str">
        <f t="shared" si="27"/>
        <v>Manufacturing and operations</v>
      </c>
      <c r="D237" t="s">
        <v>20</v>
      </c>
      <c r="E237" t="str">
        <f t="shared" si="28"/>
        <v>Dataverse</v>
      </c>
      <c r="F237">
        <v>19</v>
      </c>
      <c r="G237">
        <v>47000</v>
      </c>
      <c r="H237" s="1">
        <v>41056</v>
      </c>
      <c r="I237">
        <v>5</v>
      </c>
      <c r="J237" t="s">
        <v>57</v>
      </c>
      <c r="K237">
        <f t="shared" si="29"/>
        <v>2</v>
      </c>
      <c r="L237">
        <f t="shared" si="30"/>
        <v>4.2553191489361704E-5</v>
      </c>
      <c r="M237" t="b">
        <f t="shared" si="31"/>
        <v>1</v>
      </c>
      <c r="N237" t="b">
        <f t="shared" si="32"/>
        <v>1</v>
      </c>
      <c r="O237" t="s">
        <v>22</v>
      </c>
      <c r="P237">
        <f t="shared" si="33"/>
        <v>0.13829787234042554</v>
      </c>
      <c r="Q237">
        <f t="shared" si="34"/>
        <v>1</v>
      </c>
      <c r="R237">
        <f t="shared" si="35"/>
        <v>0.48297872340425535</v>
      </c>
    </row>
    <row r="238" spans="1:18">
      <c r="A238" t="s">
        <v>270</v>
      </c>
      <c r="B238" t="s">
        <v>102</v>
      </c>
      <c r="C238" t="str">
        <f t="shared" si="27"/>
        <v>Finance</v>
      </c>
      <c r="D238" t="s">
        <v>20</v>
      </c>
      <c r="E238" t="str">
        <f t="shared" si="28"/>
        <v>Dataverse</v>
      </c>
      <c r="F238">
        <v>11</v>
      </c>
      <c r="G238">
        <v>31000</v>
      </c>
      <c r="H238" s="1">
        <v>44327</v>
      </c>
      <c r="I238">
        <v>3</v>
      </c>
      <c r="J238" t="s">
        <v>57</v>
      </c>
      <c r="K238">
        <f t="shared" si="29"/>
        <v>2</v>
      </c>
      <c r="L238">
        <f t="shared" si="30"/>
        <v>6.4516129032258067E-5</v>
      </c>
      <c r="M238" t="b">
        <f t="shared" si="31"/>
        <v>0</v>
      </c>
      <c r="N238" t="b">
        <f t="shared" si="32"/>
        <v>1</v>
      </c>
      <c r="O238" t="s">
        <v>22</v>
      </c>
      <c r="P238">
        <f t="shared" si="33"/>
        <v>0.46774193548387094</v>
      </c>
      <c r="Q238">
        <f t="shared" si="34"/>
        <v>0.5</v>
      </c>
      <c r="R238">
        <f t="shared" si="35"/>
        <v>0.48064516129032259</v>
      </c>
    </row>
    <row r="239" spans="1:18">
      <c r="A239" t="s">
        <v>271</v>
      </c>
      <c r="B239" t="s">
        <v>60</v>
      </c>
      <c r="C239" t="str">
        <f t="shared" si="27"/>
        <v>Manufacturing and operations</v>
      </c>
      <c r="D239" t="s">
        <v>27</v>
      </c>
      <c r="E239" t="str">
        <f t="shared" si="28"/>
        <v>Technova</v>
      </c>
      <c r="F239">
        <v>16</v>
      </c>
      <c r="G239">
        <v>31000</v>
      </c>
      <c r="H239" s="1">
        <v>43723</v>
      </c>
      <c r="I239">
        <v>3</v>
      </c>
      <c r="J239" t="s">
        <v>57</v>
      </c>
      <c r="K239">
        <f t="shared" si="29"/>
        <v>2</v>
      </c>
      <c r="L239">
        <f t="shared" si="30"/>
        <v>6.4516129032258067E-5</v>
      </c>
      <c r="M239" t="b">
        <f t="shared" si="31"/>
        <v>1</v>
      </c>
      <c r="N239" t="b">
        <f t="shared" si="32"/>
        <v>1</v>
      </c>
      <c r="O239" t="s">
        <v>22</v>
      </c>
      <c r="P239">
        <f t="shared" si="33"/>
        <v>0.46774193548387094</v>
      </c>
      <c r="Q239">
        <f t="shared" si="34"/>
        <v>0.5</v>
      </c>
      <c r="R239">
        <f t="shared" si="35"/>
        <v>0.48064516129032259</v>
      </c>
    </row>
    <row r="240" spans="1:18">
      <c r="A240" t="s">
        <v>272</v>
      </c>
      <c r="B240" t="s">
        <v>204</v>
      </c>
      <c r="C240" t="str">
        <f t="shared" si="27"/>
        <v>Administrative Services</v>
      </c>
      <c r="D240" t="s">
        <v>20</v>
      </c>
      <c r="E240" t="str">
        <f t="shared" si="28"/>
        <v>Dataverse</v>
      </c>
      <c r="F240">
        <v>11</v>
      </c>
      <c r="G240">
        <v>71000</v>
      </c>
      <c r="H240" s="1">
        <v>41957</v>
      </c>
      <c r="I240">
        <v>5</v>
      </c>
      <c r="J240" t="s">
        <v>174</v>
      </c>
      <c r="K240">
        <f t="shared" si="29"/>
        <v>3</v>
      </c>
      <c r="L240">
        <f t="shared" si="30"/>
        <v>4.2253521126760563E-5</v>
      </c>
      <c r="M240" t="b">
        <f t="shared" si="31"/>
        <v>0</v>
      </c>
      <c r="N240" t="b">
        <f t="shared" si="32"/>
        <v>1</v>
      </c>
      <c r="O240" t="s">
        <v>22</v>
      </c>
      <c r="P240">
        <f t="shared" si="33"/>
        <v>0.13380281690140841</v>
      </c>
      <c r="Q240">
        <f t="shared" si="34"/>
        <v>1</v>
      </c>
      <c r="R240">
        <f t="shared" si="35"/>
        <v>0.4802816901408451</v>
      </c>
    </row>
    <row r="241" spans="1:18">
      <c r="A241" t="s">
        <v>273</v>
      </c>
      <c r="B241" t="s">
        <v>224</v>
      </c>
      <c r="C241" t="str">
        <f t="shared" si="27"/>
        <v>Business Strategy</v>
      </c>
      <c r="D241" t="s">
        <v>20</v>
      </c>
      <c r="E241" t="str">
        <f t="shared" si="28"/>
        <v>Dataverse</v>
      </c>
      <c r="F241">
        <v>24</v>
      </c>
      <c r="G241">
        <v>71000</v>
      </c>
      <c r="H241" s="1">
        <v>40039</v>
      </c>
      <c r="I241">
        <v>5</v>
      </c>
      <c r="J241" t="s">
        <v>174</v>
      </c>
      <c r="K241">
        <f t="shared" si="29"/>
        <v>3</v>
      </c>
      <c r="L241">
        <f t="shared" si="30"/>
        <v>4.2253521126760563E-5</v>
      </c>
      <c r="M241" t="b">
        <f t="shared" si="31"/>
        <v>1</v>
      </c>
      <c r="N241" t="b">
        <f t="shared" si="32"/>
        <v>1</v>
      </c>
      <c r="O241" t="s">
        <v>22</v>
      </c>
      <c r="P241">
        <f t="shared" si="33"/>
        <v>0.13380281690140841</v>
      </c>
      <c r="Q241">
        <f t="shared" si="34"/>
        <v>1</v>
      </c>
      <c r="R241">
        <f t="shared" si="35"/>
        <v>0.4802816901408451</v>
      </c>
    </row>
    <row r="242" spans="1:18">
      <c r="A242" t="s">
        <v>274</v>
      </c>
      <c r="B242" t="s">
        <v>70</v>
      </c>
      <c r="C242" t="str">
        <f t="shared" si="27"/>
        <v>Customer Experience</v>
      </c>
      <c r="D242" t="s">
        <v>27</v>
      </c>
      <c r="E242" t="str">
        <f t="shared" si="28"/>
        <v>Technova</v>
      </c>
      <c r="F242">
        <v>25</v>
      </c>
      <c r="G242">
        <v>71000</v>
      </c>
      <c r="H242" s="1">
        <v>41787</v>
      </c>
      <c r="I242">
        <v>5</v>
      </c>
      <c r="J242" t="s">
        <v>174</v>
      </c>
      <c r="K242">
        <f t="shared" si="29"/>
        <v>3</v>
      </c>
      <c r="L242">
        <f t="shared" si="30"/>
        <v>4.2253521126760563E-5</v>
      </c>
      <c r="M242" t="b">
        <f t="shared" si="31"/>
        <v>1</v>
      </c>
      <c r="N242" t="b">
        <f t="shared" si="32"/>
        <v>1</v>
      </c>
      <c r="O242" t="s">
        <v>22</v>
      </c>
      <c r="P242">
        <f t="shared" si="33"/>
        <v>0.13380281690140841</v>
      </c>
      <c r="Q242">
        <f t="shared" si="34"/>
        <v>1</v>
      </c>
      <c r="R242">
        <f t="shared" si="35"/>
        <v>0.4802816901408451</v>
      </c>
    </row>
    <row r="243" spans="1:18">
      <c r="A243" t="s">
        <v>275</v>
      </c>
      <c r="B243" t="s">
        <v>70</v>
      </c>
      <c r="C243" t="str">
        <f t="shared" si="27"/>
        <v>Customer Experience</v>
      </c>
      <c r="D243" t="s">
        <v>27</v>
      </c>
      <c r="E243" t="str">
        <f t="shared" si="28"/>
        <v>Technova</v>
      </c>
      <c r="F243">
        <v>5</v>
      </c>
      <c r="G243">
        <v>48000</v>
      </c>
      <c r="H243" s="1">
        <v>44505</v>
      </c>
      <c r="I243">
        <v>5</v>
      </c>
      <c r="J243" t="s">
        <v>57</v>
      </c>
      <c r="K243">
        <f t="shared" si="29"/>
        <v>2</v>
      </c>
      <c r="L243">
        <f t="shared" si="30"/>
        <v>4.1666666666666665E-5</v>
      </c>
      <c r="M243" t="b">
        <f t="shared" si="31"/>
        <v>0</v>
      </c>
      <c r="N243" t="b">
        <f t="shared" si="32"/>
        <v>0</v>
      </c>
      <c r="O243" t="s">
        <v>22</v>
      </c>
      <c r="P243">
        <f t="shared" si="33"/>
        <v>0.12499999999999994</v>
      </c>
      <c r="Q243">
        <f t="shared" si="34"/>
        <v>1</v>
      </c>
      <c r="R243">
        <f t="shared" si="35"/>
        <v>0.47499999999999998</v>
      </c>
    </row>
    <row r="244" spans="1:18">
      <c r="A244" t="s">
        <v>276</v>
      </c>
      <c r="B244" t="s">
        <v>204</v>
      </c>
      <c r="C244" t="str">
        <f t="shared" si="27"/>
        <v>Administrative Services</v>
      </c>
      <c r="D244" t="s">
        <v>20</v>
      </c>
      <c r="E244" t="str">
        <f t="shared" si="28"/>
        <v>Dataverse</v>
      </c>
      <c r="F244">
        <v>7</v>
      </c>
      <c r="G244">
        <v>72000</v>
      </c>
      <c r="H244" s="1">
        <v>40139</v>
      </c>
      <c r="I244">
        <v>5</v>
      </c>
      <c r="J244" t="s">
        <v>174</v>
      </c>
      <c r="K244">
        <f t="shared" si="29"/>
        <v>3</v>
      </c>
      <c r="L244">
        <f t="shared" si="30"/>
        <v>4.1666666666666665E-5</v>
      </c>
      <c r="M244" t="b">
        <f t="shared" si="31"/>
        <v>0</v>
      </c>
      <c r="N244" t="b">
        <f t="shared" si="32"/>
        <v>1</v>
      </c>
      <c r="O244" t="s">
        <v>22</v>
      </c>
      <c r="P244">
        <f t="shared" si="33"/>
        <v>0.12499999999999994</v>
      </c>
      <c r="Q244">
        <f t="shared" si="34"/>
        <v>1</v>
      </c>
      <c r="R244">
        <f t="shared" si="35"/>
        <v>0.47499999999999998</v>
      </c>
    </row>
    <row r="245" spans="1:18">
      <c r="A245" t="s">
        <v>277</v>
      </c>
      <c r="B245" t="s">
        <v>102</v>
      </c>
      <c r="C245" t="str">
        <f t="shared" si="27"/>
        <v>Finance</v>
      </c>
      <c r="D245" t="s">
        <v>20</v>
      </c>
      <c r="E245" t="str">
        <f t="shared" si="28"/>
        <v>Dataverse</v>
      </c>
      <c r="F245">
        <v>25</v>
      </c>
      <c r="G245">
        <v>48000</v>
      </c>
      <c r="H245" s="1">
        <v>40268</v>
      </c>
      <c r="I245">
        <v>5</v>
      </c>
      <c r="J245" t="s">
        <v>57</v>
      </c>
      <c r="K245">
        <f t="shared" si="29"/>
        <v>2</v>
      </c>
      <c r="L245">
        <f t="shared" si="30"/>
        <v>4.1666666666666665E-5</v>
      </c>
      <c r="M245" t="b">
        <f t="shared" si="31"/>
        <v>1</v>
      </c>
      <c r="N245" t="b">
        <f t="shared" si="32"/>
        <v>1</v>
      </c>
      <c r="O245" t="s">
        <v>22</v>
      </c>
      <c r="P245">
        <f t="shared" si="33"/>
        <v>0.12499999999999994</v>
      </c>
      <c r="Q245">
        <f t="shared" si="34"/>
        <v>1</v>
      </c>
      <c r="R245">
        <f t="shared" si="35"/>
        <v>0.47499999999999998</v>
      </c>
    </row>
    <row r="246" spans="1:18">
      <c r="A246" t="s">
        <v>278</v>
      </c>
      <c r="B246" t="s">
        <v>19</v>
      </c>
      <c r="C246" t="str">
        <f t="shared" si="27"/>
        <v>Research &amp; Department</v>
      </c>
      <c r="D246" t="s">
        <v>20</v>
      </c>
      <c r="E246" t="str">
        <f t="shared" si="28"/>
        <v>Dataverse</v>
      </c>
      <c r="F246">
        <v>3</v>
      </c>
      <c r="G246">
        <v>24000</v>
      </c>
      <c r="H246" s="1">
        <v>42275</v>
      </c>
      <c r="I246">
        <v>5</v>
      </c>
      <c r="J246" t="s">
        <v>21</v>
      </c>
      <c r="K246">
        <f t="shared" si="29"/>
        <v>1</v>
      </c>
      <c r="L246">
        <f t="shared" si="30"/>
        <v>4.1666666666666665E-5</v>
      </c>
      <c r="M246" t="b">
        <f t="shared" si="31"/>
        <v>0</v>
      </c>
      <c r="N246" t="b">
        <f t="shared" si="32"/>
        <v>0</v>
      </c>
      <c r="O246" t="s">
        <v>22</v>
      </c>
      <c r="P246">
        <f t="shared" si="33"/>
        <v>0.12499999999999994</v>
      </c>
      <c r="Q246">
        <f t="shared" si="34"/>
        <v>1</v>
      </c>
      <c r="R246">
        <f t="shared" si="35"/>
        <v>0.47499999999999998</v>
      </c>
    </row>
    <row r="247" spans="1:18">
      <c r="A247" t="s">
        <v>279</v>
      </c>
      <c r="B247" t="s">
        <v>60</v>
      </c>
      <c r="C247" t="str">
        <f t="shared" si="27"/>
        <v>Manufacturing and operations</v>
      </c>
      <c r="D247" t="s">
        <v>20</v>
      </c>
      <c r="E247" t="str">
        <f t="shared" si="28"/>
        <v>Dataverse</v>
      </c>
      <c r="F247">
        <v>15</v>
      </c>
      <c r="G247">
        <v>48000</v>
      </c>
      <c r="H247" s="1">
        <v>42656</v>
      </c>
      <c r="I247">
        <v>5</v>
      </c>
      <c r="J247" t="s">
        <v>57</v>
      </c>
      <c r="K247">
        <f t="shared" si="29"/>
        <v>2</v>
      </c>
      <c r="L247">
        <f t="shared" si="30"/>
        <v>4.1666666666666665E-5</v>
      </c>
      <c r="M247" t="b">
        <f t="shared" si="31"/>
        <v>0</v>
      </c>
      <c r="N247" t="b">
        <f t="shared" si="32"/>
        <v>1</v>
      </c>
      <c r="O247" t="s">
        <v>22</v>
      </c>
      <c r="P247">
        <f t="shared" si="33"/>
        <v>0.12499999999999994</v>
      </c>
      <c r="Q247">
        <f t="shared" si="34"/>
        <v>1</v>
      </c>
      <c r="R247">
        <f t="shared" si="35"/>
        <v>0.47499999999999998</v>
      </c>
    </row>
    <row r="248" spans="1:18">
      <c r="A248" t="s">
        <v>280</v>
      </c>
      <c r="B248" t="s">
        <v>60</v>
      </c>
      <c r="C248" t="str">
        <f t="shared" si="27"/>
        <v>Manufacturing and operations</v>
      </c>
      <c r="D248" t="s">
        <v>27</v>
      </c>
      <c r="E248" t="str">
        <f t="shared" si="28"/>
        <v>Technova</v>
      </c>
      <c r="F248">
        <v>13</v>
      </c>
      <c r="G248">
        <v>48000</v>
      </c>
      <c r="H248" s="1">
        <v>44687</v>
      </c>
      <c r="I248">
        <v>5</v>
      </c>
      <c r="J248" t="s">
        <v>57</v>
      </c>
      <c r="K248">
        <f t="shared" si="29"/>
        <v>2</v>
      </c>
      <c r="L248">
        <f t="shared" si="30"/>
        <v>4.1666666666666665E-5</v>
      </c>
      <c r="M248" t="b">
        <f t="shared" si="31"/>
        <v>0</v>
      </c>
      <c r="N248" t="b">
        <f t="shared" si="32"/>
        <v>1</v>
      </c>
      <c r="O248" t="s">
        <v>22</v>
      </c>
      <c r="P248">
        <f t="shared" si="33"/>
        <v>0.12499999999999994</v>
      </c>
      <c r="Q248">
        <f t="shared" si="34"/>
        <v>1</v>
      </c>
      <c r="R248">
        <f t="shared" si="35"/>
        <v>0.47499999999999998</v>
      </c>
    </row>
    <row r="249" spans="1:18">
      <c r="A249" t="s">
        <v>281</v>
      </c>
      <c r="B249" t="s">
        <v>25</v>
      </c>
      <c r="C249" t="str">
        <f t="shared" si="27"/>
        <v>Sales &amp; Marketing</v>
      </c>
      <c r="D249" t="s">
        <v>20</v>
      </c>
      <c r="E249" t="str">
        <f t="shared" si="28"/>
        <v>Dataverse</v>
      </c>
      <c r="F249">
        <v>23</v>
      </c>
      <c r="G249">
        <v>24000</v>
      </c>
      <c r="H249" s="1">
        <v>45130</v>
      </c>
      <c r="I249">
        <v>5</v>
      </c>
      <c r="J249" t="s">
        <v>21</v>
      </c>
      <c r="K249">
        <f t="shared" si="29"/>
        <v>1</v>
      </c>
      <c r="L249">
        <f t="shared" si="30"/>
        <v>4.1666666666666665E-5</v>
      </c>
      <c r="M249" t="b">
        <f t="shared" si="31"/>
        <v>1</v>
      </c>
      <c r="N249" t="b">
        <f t="shared" si="32"/>
        <v>1</v>
      </c>
      <c r="O249" t="s">
        <v>22</v>
      </c>
      <c r="P249">
        <f t="shared" si="33"/>
        <v>0.12499999999999994</v>
      </c>
      <c r="Q249">
        <f t="shared" si="34"/>
        <v>1</v>
      </c>
      <c r="R249">
        <f t="shared" si="35"/>
        <v>0.47499999999999998</v>
      </c>
    </row>
    <row r="250" spans="1:18">
      <c r="A250" t="s">
        <v>282</v>
      </c>
      <c r="B250" t="s">
        <v>25</v>
      </c>
      <c r="C250" t="str">
        <f t="shared" si="27"/>
        <v>Sales &amp; Marketing</v>
      </c>
      <c r="D250" t="s">
        <v>20</v>
      </c>
      <c r="E250" t="str">
        <f t="shared" si="28"/>
        <v>Dataverse</v>
      </c>
      <c r="F250">
        <v>10</v>
      </c>
      <c r="G250">
        <v>24000</v>
      </c>
      <c r="H250" s="1">
        <v>38462</v>
      </c>
      <c r="I250">
        <v>5</v>
      </c>
      <c r="J250" t="s">
        <v>21</v>
      </c>
      <c r="K250">
        <f t="shared" si="29"/>
        <v>1</v>
      </c>
      <c r="L250">
        <f t="shared" si="30"/>
        <v>4.1666666666666665E-5</v>
      </c>
      <c r="M250" t="b">
        <f t="shared" si="31"/>
        <v>0</v>
      </c>
      <c r="N250" t="b">
        <f t="shared" si="32"/>
        <v>1</v>
      </c>
      <c r="O250" t="s">
        <v>22</v>
      </c>
      <c r="P250">
        <f t="shared" si="33"/>
        <v>0.12499999999999994</v>
      </c>
      <c r="Q250">
        <f t="shared" si="34"/>
        <v>1</v>
      </c>
      <c r="R250">
        <f t="shared" si="35"/>
        <v>0.47499999999999998</v>
      </c>
    </row>
    <row r="251" spans="1:18">
      <c r="A251" t="s">
        <v>283</v>
      </c>
      <c r="B251" t="s">
        <v>70</v>
      </c>
      <c r="C251" t="str">
        <f t="shared" si="27"/>
        <v>Customer Experience</v>
      </c>
      <c r="D251" t="s">
        <v>27</v>
      </c>
      <c r="E251" t="str">
        <f t="shared" si="28"/>
        <v>Technova</v>
      </c>
      <c r="F251">
        <v>18</v>
      </c>
      <c r="G251">
        <v>72000</v>
      </c>
      <c r="H251" s="1">
        <v>44054</v>
      </c>
      <c r="I251">
        <v>5</v>
      </c>
      <c r="J251" t="s">
        <v>174</v>
      </c>
      <c r="K251">
        <f t="shared" si="29"/>
        <v>3</v>
      </c>
      <c r="L251">
        <f t="shared" si="30"/>
        <v>4.1666666666666665E-5</v>
      </c>
      <c r="M251" t="b">
        <f t="shared" si="31"/>
        <v>1</v>
      </c>
      <c r="N251" t="b">
        <f t="shared" si="32"/>
        <v>1</v>
      </c>
      <c r="O251" t="s">
        <v>22</v>
      </c>
      <c r="P251">
        <f t="shared" si="33"/>
        <v>0.12499999999999994</v>
      </c>
      <c r="Q251">
        <f t="shared" si="34"/>
        <v>1</v>
      </c>
      <c r="R251">
        <f t="shared" si="35"/>
        <v>0.47499999999999998</v>
      </c>
    </row>
    <row r="252" spans="1:18">
      <c r="A252" t="s">
        <v>284</v>
      </c>
      <c r="B252" t="s">
        <v>70</v>
      </c>
      <c r="C252" t="str">
        <f t="shared" si="27"/>
        <v>Customer Experience</v>
      </c>
      <c r="D252" t="s">
        <v>27</v>
      </c>
      <c r="E252" t="str">
        <f t="shared" si="28"/>
        <v>Technova</v>
      </c>
      <c r="F252">
        <v>10</v>
      </c>
      <c r="G252">
        <v>38000</v>
      </c>
      <c r="H252" s="1">
        <v>41480</v>
      </c>
      <c r="I252">
        <v>4</v>
      </c>
      <c r="J252" t="s">
        <v>57</v>
      </c>
      <c r="K252">
        <f t="shared" si="29"/>
        <v>2</v>
      </c>
      <c r="L252">
        <f t="shared" si="30"/>
        <v>5.2631578947368424E-5</v>
      </c>
      <c r="M252" t="b">
        <f t="shared" si="31"/>
        <v>0</v>
      </c>
      <c r="N252" t="b">
        <f t="shared" si="32"/>
        <v>1</v>
      </c>
      <c r="O252" t="s">
        <v>22</v>
      </c>
      <c r="P252">
        <f t="shared" si="33"/>
        <v>0.28947368421052633</v>
      </c>
      <c r="Q252">
        <f t="shared" si="34"/>
        <v>0.75</v>
      </c>
      <c r="R252">
        <f t="shared" si="35"/>
        <v>0.47368421052631582</v>
      </c>
    </row>
    <row r="253" spans="1:18">
      <c r="A253" t="s">
        <v>285</v>
      </c>
      <c r="B253" t="s">
        <v>19</v>
      </c>
      <c r="C253" t="str">
        <f t="shared" si="27"/>
        <v>Research &amp; Department</v>
      </c>
      <c r="D253" t="s">
        <v>20</v>
      </c>
      <c r="E253" t="str">
        <f t="shared" si="28"/>
        <v>Dataverse</v>
      </c>
      <c r="F253">
        <v>5</v>
      </c>
      <c r="G253">
        <v>19000</v>
      </c>
      <c r="H253" s="1">
        <v>40843</v>
      </c>
      <c r="I253">
        <v>4</v>
      </c>
      <c r="J253" t="s">
        <v>21</v>
      </c>
      <c r="K253">
        <f t="shared" si="29"/>
        <v>1</v>
      </c>
      <c r="L253">
        <f t="shared" si="30"/>
        <v>5.2631578947368424E-5</v>
      </c>
      <c r="M253" t="b">
        <f t="shared" si="31"/>
        <v>0</v>
      </c>
      <c r="N253" t="b">
        <f t="shared" si="32"/>
        <v>0</v>
      </c>
      <c r="O253" t="s">
        <v>22</v>
      </c>
      <c r="P253">
        <f t="shared" si="33"/>
        <v>0.28947368421052633</v>
      </c>
      <c r="Q253">
        <f t="shared" si="34"/>
        <v>0.75</v>
      </c>
      <c r="R253">
        <f t="shared" si="35"/>
        <v>0.47368421052631582</v>
      </c>
    </row>
    <row r="254" spans="1:18">
      <c r="A254" t="s">
        <v>286</v>
      </c>
      <c r="B254" t="s">
        <v>74</v>
      </c>
      <c r="C254" t="str">
        <f t="shared" si="27"/>
        <v>Human Resources</v>
      </c>
      <c r="D254" t="s">
        <v>27</v>
      </c>
      <c r="E254" t="str">
        <f t="shared" si="28"/>
        <v>Technova</v>
      </c>
      <c r="F254">
        <v>5</v>
      </c>
      <c r="G254">
        <v>38000</v>
      </c>
      <c r="H254" s="1">
        <v>45348</v>
      </c>
      <c r="I254">
        <v>4</v>
      </c>
      <c r="J254" t="s">
        <v>57</v>
      </c>
      <c r="K254">
        <f t="shared" si="29"/>
        <v>2</v>
      </c>
      <c r="L254">
        <f t="shared" si="30"/>
        <v>5.2631578947368424E-5</v>
      </c>
      <c r="M254" t="b">
        <f t="shared" si="31"/>
        <v>0</v>
      </c>
      <c r="N254" t="b">
        <f t="shared" si="32"/>
        <v>0</v>
      </c>
      <c r="O254" t="s">
        <v>22</v>
      </c>
      <c r="P254">
        <f t="shared" si="33"/>
        <v>0.28947368421052633</v>
      </c>
      <c r="Q254">
        <f t="shared" si="34"/>
        <v>0.75</v>
      </c>
      <c r="R254">
        <f t="shared" si="35"/>
        <v>0.47368421052631582</v>
      </c>
    </row>
    <row r="255" spans="1:18">
      <c r="A255" t="s">
        <v>287</v>
      </c>
      <c r="B255" t="s">
        <v>74</v>
      </c>
      <c r="C255" t="str">
        <f t="shared" si="27"/>
        <v>Human Resources</v>
      </c>
      <c r="D255" t="s">
        <v>27</v>
      </c>
      <c r="E255" t="str">
        <f t="shared" si="28"/>
        <v>Technova</v>
      </c>
      <c r="F255">
        <v>15</v>
      </c>
      <c r="G255">
        <v>38000</v>
      </c>
      <c r="H255" s="1">
        <v>43570</v>
      </c>
      <c r="I255">
        <v>4</v>
      </c>
      <c r="J255" t="s">
        <v>57</v>
      </c>
      <c r="K255">
        <f t="shared" si="29"/>
        <v>2</v>
      </c>
      <c r="L255">
        <f t="shared" si="30"/>
        <v>5.2631578947368424E-5</v>
      </c>
      <c r="M255" t="b">
        <f t="shared" si="31"/>
        <v>0</v>
      </c>
      <c r="N255" t="b">
        <f t="shared" si="32"/>
        <v>1</v>
      </c>
      <c r="O255" t="s">
        <v>22</v>
      </c>
      <c r="P255">
        <f t="shared" si="33"/>
        <v>0.28947368421052633</v>
      </c>
      <c r="Q255">
        <f t="shared" si="34"/>
        <v>0.75</v>
      </c>
      <c r="R255">
        <f t="shared" si="35"/>
        <v>0.47368421052631582</v>
      </c>
    </row>
    <row r="256" spans="1:18">
      <c r="A256" t="s">
        <v>288</v>
      </c>
      <c r="B256" t="s">
        <v>56</v>
      </c>
      <c r="C256" t="str">
        <f t="shared" si="27"/>
        <v>IT &amp; Systems</v>
      </c>
      <c r="D256" t="s">
        <v>20</v>
      </c>
      <c r="E256" t="str">
        <f t="shared" si="28"/>
        <v>Dataverse</v>
      </c>
      <c r="F256">
        <v>11</v>
      </c>
      <c r="G256">
        <v>38000</v>
      </c>
      <c r="H256" s="1">
        <v>44710</v>
      </c>
      <c r="I256">
        <v>4</v>
      </c>
      <c r="J256" t="s">
        <v>57</v>
      </c>
      <c r="K256">
        <f t="shared" si="29"/>
        <v>2</v>
      </c>
      <c r="L256">
        <f t="shared" si="30"/>
        <v>5.2631578947368424E-5</v>
      </c>
      <c r="M256" t="b">
        <f t="shared" si="31"/>
        <v>0</v>
      </c>
      <c r="N256" t="b">
        <f t="shared" si="32"/>
        <v>1</v>
      </c>
      <c r="O256" t="s">
        <v>22</v>
      </c>
      <c r="P256">
        <f t="shared" si="33"/>
        <v>0.28947368421052633</v>
      </c>
      <c r="Q256">
        <f t="shared" si="34"/>
        <v>0.75</v>
      </c>
      <c r="R256">
        <f t="shared" si="35"/>
        <v>0.47368421052631582</v>
      </c>
    </row>
    <row r="257" spans="1:18">
      <c r="A257" t="s">
        <v>289</v>
      </c>
      <c r="B257" t="s">
        <v>19</v>
      </c>
      <c r="C257" t="str">
        <f t="shared" si="27"/>
        <v>Research &amp; Department</v>
      </c>
      <c r="D257" t="s">
        <v>27</v>
      </c>
      <c r="E257" t="str">
        <f t="shared" si="28"/>
        <v>Technova</v>
      </c>
      <c r="F257">
        <v>17</v>
      </c>
      <c r="G257">
        <v>19000</v>
      </c>
      <c r="H257" s="1">
        <v>43564</v>
      </c>
      <c r="I257">
        <v>4</v>
      </c>
      <c r="J257" t="s">
        <v>21</v>
      </c>
      <c r="K257">
        <f t="shared" si="29"/>
        <v>1</v>
      </c>
      <c r="L257">
        <f t="shared" si="30"/>
        <v>5.2631578947368424E-5</v>
      </c>
      <c r="M257" t="b">
        <f t="shared" si="31"/>
        <v>1</v>
      </c>
      <c r="N257" t="b">
        <f t="shared" si="32"/>
        <v>1</v>
      </c>
      <c r="O257" t="s">
        <v>22</v>
      </c>
      <c r="P257">
        <f t="shared" si="33"/>
        <v>0.28947368421052633</v>
      </c>
      <c r="Q257">
        <f t="shared" si="34"/>
        <v>0.75</v>
      </c>
      <c r="R257">
        <f t="shared" si="35"/>
        <v>0.47368421052631582</v>
      </c>
    </row>
    <row r="258" spans="1:18">
      <c r="A258" t="s">
        <v>290</v>
      </c>
      <c r="B258" t="s">
        <v>60</v>
      </c>
      <c r="C258" t="str">
        <f t="shared" ref="C258:C321" si="36">TRIM(B258)</f>
        <v>Manufacturing and operations</v>
      </c>
      <c r="D258" t="s">
        <v>20</v>
      </c>
      <c r="E258" t="str">
        <f t="shared" ref="E258:E321" si="37">TRIM(D258)</f>
        <v>Dataverse</v>
      </c>
      <c r="F258">
        <v>24</v>
      </c>
      <c r="G258">
        <v>38000</v>
      </c>
      <c r="H258" s="1">
        <v>40165</v>
      </c>
      <c r="I258">
        <v>4</v>
      </c>
      <c r="J258" t="s">
        <v>57</v>
      </c>
      <c r="K258">
        <f t="shared" ref="K258:K321" si="38">IF(J258="A", 3, IF(J258="B", 2, 1))</f>
        <v>2</v>
      </c>
      <c r="L258">
        <f t="shared" ref="L258:L321" si="39">K258/G258</f>
        <v>5.2631578947368424E-5</v>
      </c>
      <c r="M258" t="b">
        <f t="shared" ref="M258:M321" si="40">IF(F258&gt;15, TRUE, FALSE)</f>
        <v>1</v>
      </c>
      <c r="N258" t="b">
        <f t="shared" ref="N258:N321" si="41">IF(F258&gt;5, TRUE, FALSE)</f>
        <v>1</v>
      </c>
      <c r="O258" t="s">
        <v>22</v>
      </c>
      <c r="P258">
        <f t="shared" ref="P258:P321" si="42">(L258-MIN(L:L))/(MAX(L:L)-MIN(L:L))</f>
        <v>0.28947368421052633</v>
      </c>
      <c r="Q258">
        <f t="shared" ref="Q258:Q321" si="43">(I258-1)/4</f>
        <v>0.75</v>
      </c>
      <c r="R258">
        <f t="shared" ref="R258:R321" si="44">(0.6*P258)+(0.4*Q258)</f>
        <v>0.47368421052631582</v>
      </c>
    </row>
    <row r="259" spans="1:18">
      <c r="A259" t="s">
        <v>291</v>
      </c>
      <c r="B259" t="s">
        <v>60</v>
      </c>
      <c r="C259" t="str">
        <f t="shared" si="36"/>
        <v>Manufacturing and operations</v>
      </c>
      <c r="D259" t="s">
        <v>20</v>
      </c>
      <c r="E259" t="str">
        <f t="shared" si="37"/>
        <v>Dataverse</v>
      </c>
      <c r="F259">
        <v>12</v>
      </c>
      <c r="G259">
        <v>38000</v>
      </c>
      <c r="H259" s="1">
        <v>39097</v>
      </c>
      <c r="I259">
        <v>4</v>
      </c>
      <c r="J259" t="s">
        <v>57</v>
      </c>
      <c r="K259">
        <f t="shared" si="38"/>
        <v>2</v>
      </c>
      <c r="L259">
        <f t="shared" si="39"/>
        <v>5.2631578947368424E-5</v>
      </c>
      <c r="M259" t="b">
        <f t="shared" si="40"/>
        <v>0</v>
      </c>
      <c r="N259" t="b">
        <f t="shared" si="41"/>
        <v>1</v>
      </c>
      <c r="O259" t="s">
        <v>22</v>
      </c>
      <c r="P259">
        <f t="shared" si="42"/>
        <v>0.28947368421052633</v>
      </c>
      <c r="Q259">
        <f t="shared" si="43"/>
        <v>0.75</v>
      </c>
      <c r="R259">
        <f t="shared" si="44"/>
        <v>0.47368421052631582</v>
      </c>
    </row>
    <row r="260" spans="1:18">
      <c r="A260" t="s">
        <v>292</v>
      </c>
      <c r="B260" t="s">
        <v>60</v>
      </c>
      <c r="C260" t="str">
        <f t="shared" si="36"/>
        <v>Manufacturing and operations</v>
      </c>
      <c r="D260" t="s">
        <v>27</v>
      </c>
      <c r="E260" t="str">
        <f t="shared" si="37"/>
        <v>Technova</v>
      </c>
      <c r="F260">
        <v>8</v>
      </c>
      <c r="G260">
        <v>38000</v>
      </c>
      <c r="H260" s="1">
        <v>45098</v>
      </c>
      <c r="I260">
        <v>4</v>
      </c>
      <c r="J260" t="s">
        <v>57</v>
      </c>
      <c r="K260">
        <f t="shared" si="38"/>
        <v>2</v>
      </c>
      <c r="L260">
        <f t="shared" si="39"/>
        <v>5.2631578947368424E-5</v>
      </c>
      <c r="M260" t="b">
        <f t="shared" si="40"/>
        <v>0</v>
      </c>
      <c r="N260" t="b">
        <f t="shared" si="41"/>
        <v>1</v>
      </c>
      <c r="O260" t="s">
        <v>22</v>
      </c>
      <c r="P260">
        <f t="shared" si="42"/>
        <v>0.28947368421052633</v>
      </c>
      <c r="Q260">
        <f t="shared" si="43"/>
        <v>0.75</v>
      </c>
      <c r="R260">
        <f t="shared" si="44"/>
        <v>0.47368421052631582</v>
      </c>
    </row>
    <row r="261" spans="1:18">
      <c r="A261" t="s">
        <v>293</v>
      </c>
      <c r="B261" t="s">
        <v>25</v>
      </c>
      <c r="C261" t="str">
        <f t="shared" si="36"/>
        <v>Sales &amp; Marketing</v>
      </c>
      <c r="D261" t="s">
        <v>27</v>
      </c>
      <c r="E261" t="str">
        <f t="shared" si="37"/>
        <v>Technova</v>
      </c>
      <c r="F261">
        <v>4</v>
      </c>
      <c r="G261">
        <v>19000</v>
      </c>
      <c r="H261" s="1">
        <v>40351</v>
      </c>
      <c r="I261">
        <v>4</v>
      </c>
      <c r="J261" t="s">
        <v>21</v>
      </c>
      <c r="K261">
        <f t="shared" si="38"/>
        <v>1</v>
      </c>
      <c r="L261">
        <f t="shared" si="39"/>
        <v>5.2631578947368424E-5</v>
      </c>
      <c r="M261" t="b">
        <f t="shared" si="40"/>
        <v>0</v>
      </c>
      <c r="N261" t="b">
        <f t="shared" si="41"/>
        <v>0</v>
      </c>
      <c r="O261" t="s">
        <v>22</v>
      </c>
      <c r="P261">
        <f t="shared" si="42"/>
        <v>0.28947368421052633</v>
      </c>
      <c r="Q261">
        <f t="shared" si="43"/>
        <v>0.75</v>
      </c>
      <c r="R261">
        <f t="shared" si="44"/>
        <v>0.47368421052631582</v>
      </c>
    </row>
    <row r="262" spans="1:18">
      <c r="A262" t="s">
        <v>294</v>
      </c>
      <c r="B262" t="s">
        <v>60</v>
      </c>
      <c r="C262" t="str">
        <f t="shared" si="36"/>
        <v>Manufacturing and operations</v>
      </c>
      <c r="D262" t="s">
        <v>20</v>
      </c>
      <c r="E262" t="str">
        <f t="shared" si="37"/>
        <v>Dataverse</v>
      </c>
      <c r="F262">
        <v>5</v>
      </c>
      <c r="G262">
        <v>38000</v>
      </c>
      <c r="H262" s="1">
        <v>38791</v>
      </c>
      <c r="I262">
        <v>4</v>
      </c>
      <c r="J262" t="s">
        <v>57</v>
      </c>
      <c r="K262">
        <f t="shared" si="38"/>
        <v>2</v>
      </c>
      <c r="L262">
        <f t="shared" si="39"/>
        <v>5.2631578947368424E-5</v>
      </c>
      <c r="M262" t="b">
        <f t="shared" si="40"/>
        <v>0</v>
      </c>
      <c r="N262" t="b">
        <f t="shared" si="41"/>
        <v>0</v>
      </c>
      <c r="O262" t="s">
        <v>22</v>
      </c>
      <c r="P262">
        <f t="shared" si="42"/>
        <v>0.28947368421052633</v>
      </c>
      <c r="Q262">
        <f t="shared" si="43"/>
        <v>0.75</v>
      </c>
      <c r="R262">
        <f t="shared" si="44"/>
        <v>0.47368421052631582</v>
      </c>
    </row>
    <row r="263" spans="1:18">
      <c r="A263" t="s">
        <v>295</v>
      </c>
      <c r="B263" t="s">
        <v>67</v>
      </c>
      <c r="C263" t="str">
        <f t="shared" si="36"/>
        <v>Quality Assurance</v>
      </c>
      <c r="D263" t="s">
        <v>27</v>
      </c>
      <c r="E263" t="str">
        <f t="shared" si="37"/>
        <v>Technova</v>
      </c>
      <c r="F263">
        <v>20</v>
      </c>
      <c r="G263">
        <v>38000</v>
      </c>
      <c r="H263" s="1">
        <v>39510</v>
      </c>
      <c r="I263">
        <v>4</v>
      </c>
      <c r="J263" t="s">
        <v>57</v>
      </c>
      <c r="K263">
        <f t="shared" si="38"/>
        <v>2</v>
      </c>
      <c r="L263">
        <f t="shared" si="39"/>
        <v>5.2631578947368424E-5</v>
      </c>
      <c r="M263" t="b">
        <f t="shared" si="40"/>
        <v>1</v>
      </c>
      <c r="N263" t="b">
        <f t="shared" si="41"/>
        <v>1</v>
      </c>
      <c r="O263" t="s">
        <v>22</v>
      </c>
      <c r="P263">
        <f t="shared" si="42"/>
        <v>0.28947368421052633</v>
      </c>
      <c r="Q263">
        <f t="shared" si="43"/>
        <v>0.75</v>
      </c>
      <c r="R263">
        <f t="shared" si="44"/>
        <v>0.47368421052631582</v>
      </c>
    </row>
    <row r="264" spans="1:18">
      <c r="A264" t="s">
        <v>296</v>
      </c>
      <c r="B264" t="s">
        <v>67</v>
      </c>
      <c r="C264" t="str">
        <f t="shared" si="36"/>
        <v>Quality Assurance</v>
      </c>
      <c r="D264" t="s">
        <v>27</v>
      </c>
      <c r="E264" t="str">
        <f t="shared" si="37"/>
        <v>Technova</v>
      </c>
      <c r="F264">
        <v>4</v>
      </c>
      <c r="G264">
        <v>38000</v>
      </c>
      <c r="H264" s="1">
        <v>43421</v>
      </c>
      <c r="I264">
        <v>4</v>
      </c>
      <c r="J264" t="s">
        <v>57</v>
      </c>
      <c r="K264">
        <f t="shared" si="38"/>
        <v>2</v>
      </c>
      <c r="L264">
        <f t="shared" si="39"/>
        <v>5.2631578947368424E-5</v>
      </c>
      <c r="M264" t="b">
        <f t="shared" si="40"/>
        <v>0</v>
      </c>
      <c r="N264" t="b">
        <f t="shared" si="41"/>
        <v>0</v>
      </c>
      <c r="O264" t="s">
        <v>22</v>
      </c>
      <c r="P264">
        <f t="shared" si="42"/>
        <v>0.28947368421052633</v>
      </c>
      <c r="Q264">
        <f t="shared" si="43"/>
        <v>0.75</v>
      </c>
      <c r="R264">
        <f t="shared" si="44"/>
        <v>0.47368421052631582</v>
      </c>
    </row>
    <row r="265" spans="1:18">
      <c r="A265" t="s">
        <v>297</v>
      </c>
      <c r="B265" t="s">
        <v>56</v>
      </c>
      <c r="C265" t="str">
        <f t="shared" si="36"/>
        <v>IT &amp; Systems</v>
      </c>
      <c r="D265" t="s">
        <v>27</v>
      </c>
      <c r="E265" t="str">
        <f t="shared" si="37"/>
        <v>Technova</v>
      </c>
      <c r="F265">
        <v>12</v>
      </c>
      <c r="G265">
        <v>49000</v>
      </c>
      <c r="H265" s="1">
        <v>41631</v>
      </c>
      <c r="I265">
        <v>5</v>
      </c>
      <c r="J265" t="s">
        <v>57</v>
      </c>
      <c r="K265">
        <f t="shared" si="38"/>
        <v>2</v>
      </c>
      <c r="L265">
        <f t="shared" si="39"/>
        <v>4.0816326530612245E-5</v>
      </c>
      <c r="M265" t="b">
        <f t="shared" si="40"/>
        <v>0</v>
      </c>
      <c r="N265" t="b">
        <f t="shared" si="41"/>
        <v>1</v>
      </c>
      <c r="O265" t="s">
        <v>22</v>
      </c>
      <c r="P265">
        <f t="shared" si="42"/>
        <v>0.11224489795918365</v>
      </c>
      <c r="Q265">
        <f t="shared" si="43"/>
        <v>1</v>
      </c>
      <c r="R265">
        <f t="shared" si="44"/>
        <v>0.4673469387755102</v>
      </c>
    </row>
    <row r="266" spans="1:18">
      <c r="A266" t="s">
        <v>298</v>
      </c>
      <c r="B266" t="s">
        <v>56</v>
      </c>
      <c r="C266" t="str">
        <f t="shared" si="36"/>
        <v>IT &amp; Systems</v>
      </c>
      <c r="D266" t="s">
        <v>27</v>
      </c>
      <c r="E266" t="str">
        <f t="shared" si="37"/>
        <v>Technova</v>
      </c>
      <c r="F266">
        <v>3</v>
      </c>
      <c r="G266">
        <v>49000</v>
      </c>
      <c r="H266" s="1">
        <v>44190</v>
      </c>
      <c r="I266">
        <v>5</v>
      </c>
      <c r="J266" t="s">
        <v>57</v>
      </c>
      <c r="K266">
        <f t="shared" si="38"/>
        <v>2</v>
      </c>
      <c r="L266">
        <f t="shared" si="39"/>
        <v>4.0816326530612245E-5</v>
      </c>
      <c r="M266" t="b">
        <f t="shared" si="40"/>
        <v>0</v>
      </c>
      <c r="N266" t="b">
        <f t="shared" si="41"/>
        <v>0</v>
      </c>
      <c r="O266" t="s">
        <v>22</v>
      </c>
      <c r="P266">
        <f t="shared" si="42"/>
        <v>0.11224489795918365</v>
      </c>
      <c r="Q266">
        <f t="shared" si="43"/>
        <v>1</v>
      </c>
      <c r="R266">
        <f t="shared" si="44"/>
        <v>0.4673469387755102</v>
      </c>
    </row>
    <row r="267" spans="1:18">
      <c r="A267" t="s">
        <v>299</v>
      </c>
      <c r="B267" t="s">
        <v>60</v>
      </c>
      <c r="C267" t="str">
        <f t="shared" si="36"/>
        <v>Manufacturing and operations</v>
      </c>
      <c r="D267" t="s">
        <v>20</v>
      </c>
      <c r="E267" t="str">
        <f t="shared" si="37"/>
        <v>Dataverse</v>
      </c>
      <c r="F267">
        <v>2</v>
      </c>
      <c r="G267">
        <v>49000</v>
      </c>
      <c r="H267" s="1">
        <v>38306</v>
      </c>
      <c r="I267">
        <v>5</v>
      </c>
      <c r="J267" t="s">
        <v>57</v>
      </c>
      <c r="K267">
        <f t="shared" si="38"/>
        <v>2</v>
      </c>
      <c r="L267">
        <f t="shared" si="39"/>
        <v>4.0816326530612245E-5</v>
      </c>
      <c r="M267" t="b">
        <f t="shared" si="40"/>
        <v>0</v>
      </c>
      <c r="N267" t="b">
        <f t="shared" si="41"/>
        <v>0</v>
      </c>
      <c r="O267" t="s">
        <v>22</v>
      </c>
      <c r="P267">
        <f t="shared" si="42"/>
        <v>0.11224489795918365</v>
      </c>
      <c r="Q267">
        <f t="shared" si="43"/>
        <v>1</v>
      </c>
      <c r="R267">
        <f t="shared" si="44"/>
        <v>0.4673469387755102</v>
      </c>
    </row>
    <row r="268" spans="1:18">
      <c r="A268" t="s">
        <v>300</v>
      </c>
      <c r="B268" t="s">
        <v>60</v>
      </c>
      <c r="C268" t="str">
        <f t="shared" si="36"/>
        <v>Manufacturing and operations</v>
      </c>
      <c r="D268" t="s">
        <v>20</v>
      </c>
      <c r="E268" t="str">
        <f t="shared" si="37"/>
        <v>Dataverse</v>
      </c>
      <c r="F268">
        <v>2</v>
      </c>
      <c r="G268">
        <v>49000</v>
      </c>
      <c r="H268" s="1">
        <v>43593</v>
      </c>
      <c r="I268">
        <v>5</v>
      </c>
      <c r="J268" t="s">
        <v>57</v>
      </c>
      <c r="K268">
        <f t="shared" si="38"/>
        <v>2</v>
      </c>
      <c r="L268">
        <f t="shared" si="39"/>
        <v>4.0816326530612245E-5</v>
      </c>
      <c r="M268" t="b">
        <f t="shared" si="40"/>
        <v>0</v>
      </c>
      <c r="N268" t="b">
        <f t="shared" si="41"/>
        <v>0</v>
      </c>
      <c r="O268" t="s">
        <v>22</v>
      </c>
      <c r="P268">
        <f t="shared" si="42"/>
        <v>0.11224489795918365</v>
      </c>
      <c r="Q268">
        <f t="shared" si="43"/>
        <v>1</v>
      </c>
      <c r="R268">
        <f t="shared" si="44"/>
        <v>0.4673469387755102</v>
      </c>
    </row>
    <row r="269" spans="1:18">
      <c r="A269" t="s">
        <v>301</v>
      </c>
      <c r="B269" t="s">
        <v>224</v>
      </c>
      <c r="C269" t="str">
        <f t="shared" si="36"/>
        <v>Business Strategy</v>
      </c>
      <c r="D269" t="s">
        <v>27</v>
      </c>
      <c r="E269" t="str">
        <f t="shared" si="37"/>
        <v>Technova</v>
      </c>
      <c r="F269">
        <v>15</v>
      </c>
      <c r="G269">
        <v>74000</v>
      </c>
      <c r="H269" s="1">
        <v>44257</v>
      </c>
      <c r="I269">
        <v>5</v>
      </c>
      <c r="J269" t="s">
        <v>174</v>
      </c>
      <c r="K269">
        <f t="shared" si="38"/>
        <v>3</v>
      </c>
      <c r="L269">
        <f t="shared" si="39"/>
        <v>4.0540540540540538E-5</v>
      </c>
      <c r="M269" t="b">
        <f t="shared" si="40"/>
        <v>0</v>
      </c>
      <c r="N269" t="b">
        <f t="shared" si="41"/>
        <v>1</v>
      </c>
      <c r="O269" t="s">
        <v>22</v>
      </c>
      <c r="P269">
        <f t="shared" si="42"/>
        <v>0.10810810810810804</v>
      </c>
      <c r="Q269">
        <f t="shared" si="43"/>
        <v>1</v>
      </c>
      <c r="R269">
        <f t="shared" si="44"/>
        <v>0.46486486486486484</v>
      </c>
    </row>
    <row r="270" spans="1:18">
      <c r="A270" t="s">
        <v>302</v>
      </c>
      <c r="B270" t="s">
        <v>224</v>
      </c>
      <c r="C270" t="str">
        <f t="shared" si="36"/>
        <v>Business Strategy</v>
      </c>
      <c r="D270" t="s">
        <v>27</v>
      </c>
      <c r="E270" t="str">
        <f t="shared" si="37"/>
        <v>Technova</v>
      </c>
      <c r="F270">
        <v>15</v>
      </c>
      <c r="G270">
        <v>74000</v>
      </c>
      <c r="H270" s="1">
        <v>43889</v>
      </c>
      <c r="I270">
        <v>5</v>
      </c>
      <c r="J270" t="s">
        <v>174</v>
      </c>
      <c r="K270">
        <f t="shared" si="38"/>
        <v>3</v>
      </c>
      <c r="L270">
        <f t="shared" si="39"/>
        <v>4.0540540540540538E-5</v>
      </c>
      <c r="M270" t="b">
        <f t="shared" si="40"/>
        <v>0</v>
      </c>
      <c r="N270" t="b">
        <f t="shared" si="41"/>
        <v>1</v>
      </c>
      <c r="O270" t="s">
        <v>22</v>
      </c>
      <c r="P270">
        <f t="shared" si="42"/>
        <v>0.10810810810810804</v>
      </c>
      <c r="Q270">
        <f t="shared" si="43"/>
        <v>1</v>
      </c>
      <c r="R270">
        <f t="shared" si="44"/>
        <v>0.46486486486486484</v>
      </c>
    </row>
    <row r="271" spans="1:18">
      <c r="A271" t="s">
        <v>303</v>
      </c>
      <c r="B271" t="s">
        <v>56</v>
      </c>
      <c r="C271" t="str">
        <f t="shared" si="36"/>
        <v>IT &amp; Systems</v>
      </c>
      <c r="D271" t="s">
        <v>20</v>
      </c>
      <c r="E271" t="str">
        <f t="shared" si="37"/>
        <v>Dataverse</v>
      </c>
      <c r="F271">
        <v>25</v>
      </c>
      <c r="G271">
        <v>32000</v>
      </c>
      <c r="H271" s="1">
        <v>42280</v>
      </c>
      <c r="I271">
        <v>3</v>
      </c>
      <c r="J271" t="s">
        <v>57</v>
      </c>
      <c r="K271">
        <f t="shared" si="38"/>
        <v>2</v>
      </c>
      <c r="L271">
        <f t="shared" si="39"/>
        <v>6.2500000000000001E-5</v>
      </c>
      <c r="M271" t="b">
        <f t="shared" si="40"/>
        <v>1</v>
      </c>
      <c r="N271" t="b">
        <f t="shared" si="41"/>
        <v>1</v>
      </c>
      <c r="O271" t="s">
        <v>22</v>
      </c>
      <c r="P271">
        <f t="shared" si="42"/>
        <v>0.4375</v>
      </c>
      <c r="Q271">
        <f t="shared" si="43"/>
        <v>0.5</v>
      </c>
      <c r="R271">
        <f t="shared" si="44"/>
        <v>0.46250000000000002</v>
      </c>
    </row>
    <row r="272" spans="1:18">
      <c r="A272" t="s">
        <v>304</v>
      </c>
      <c r="B272" t="s">
        <v>60</v>
      </c>
      <c r="C272" t="str">
        <f t="shared" si="36"/>
        <v>Manufacturing and operations</v>
      </c>
      <c r="D272" t="s">
        <v>20</v>
      </c>
      <c r="E272" t="str">
        <f t="shared" si="37"/>
        <v>Dataverse</v>
      </c>
      <c r="F272">
        <v>14</v>
      </c>
      <c r="G272">
        <v>32000</v>
      </c>
      <c r="H272" s="1">
        <v>43826</v>
      </c>
      <c r="I272">
        <v>3</v>
      </c>
      <c r="J272" t="s">
        <v>57</v>
      </c>
      <c r="K272">
        <f t="shared" si="38"/>
        <v>2</v>
      </c>
      <c r="L272">
        <f t="shared" si="39"/>
        <v>6.2500000000000001E-5</v>
      </c>
      <c r="M272" t="b">
        <f t="shared" si="40"/>
        <v>0</v>
      </c>
      <c r="N272" t="b">
        <f t="shared" si="41"/>
        <v>1</v>
      </c>
      <c r="O272" t="s">
        <v>22</v>
      </c>
      <c r="P272">
        <f t="shared" si="42"/>
        <v>0.4375</v>
      </c>
      <c r="Q272">
        <f t="shared" si="43"/>
        <v>0.5</v>
      </c>
      <c r="R272">
        <f t="shared" si="44"/>
        <v>0.46250000000000002</v>
      </c>
    </row>
    <row r="273" spans="1:18">
      <c r="A273" t="s">
        <v>305</v>
      </c>
      <c r="B273" t="s">
        <v>60</v>
      </c>
      <c r="C273" t="str">
        <f t="shared" si="36"/>
        <v>Manufacturing and operations</v>
      </c>
      <c r="D273" t="s">
        <v>20</v>
      </c>
      <c r="E273" t="str">
        <f t="shared" si="37"/>
        <v>Dataverse</v>
      </c>
      <c r="F273">
        <v>3</v>
      </c>
      <c r="G273">
        <v>32000</v>
      </c>
      <c r="H273" s="1">
        <v>45093</v>
      </c>
      <c r="I273">
        <v>3</v>
      </c>
      <c r="J273" t="s">
        <v>57</v>
      </c>
      <c r="K273">
        <f t="shared" si="38"/>
        <v>2</v>
      </c>
      <c r="L273">
        <f t="shared" si="39"/>
        <v>6.2500000000000001E-5</v>
      </c>
      <c r="M273" t="b">
        <f t="shared" si="40"/>
        <v>0</v>
      </c>
      <c r="N273" t="b">
        <f t="shared" si="41"/>
        <v>0</v>
      </c>
      <c r="O273" t="s">
        <v>22</v>
      </c>
      <c r="P273">
        <f t="shared" si="42"/>
        <v>0.4375</v>
      </c>
      <c r="Q273">
        <f t="shared" si="43"/>
        <v>0.5</v>
      </c>
      <c r="R273">
        <f t="shared" si="44"/>
        <v>0.46250000000000002</v>
      </c>
    </row>
    <row r="274" spans="1:18">
      <c r="A274" t="s">
        <v>306</v>
      </c>
      <c r="B274" t="s">
        <v>60</v>
      </c>
      <c r="C274" t="str">
        <f t="shared" si="36"/>
        <v>Manufacturing and operations</v>
      </c>
      <c r="D274" t="s">
        <v>27</v>
      </c>
      <c r="E274" t="str">
        <f t="shared" si="37"/>
        <v>Technova</v>
      </c>
      <c r="F274">
        <v>4</v>
      </c>
      <c r="G274">
        <v>32000</v>
      </c>
      <c r="H274" s="1">
        <v>41332</v>
      </c>
      <c r="I274">
        <v>3</v>
      </c>
      <c r="J274" t="s">
        <v>57</v>
      </c>
      <c r="K274">
        <f t="shared" si="38"/>
        <v>2</v>
      </c>
      <c r="L274">
        <f t="shared" si="39"/>
        <v>6.2500000000000001E-5</v>
      </c>
      <c r="M274" t="b">
        <f t="shared" si="40"/>
        <v>0</v>
      </c>
      <c r="N274" t="b">
        <f t="shared" si="41"/>
        <v>0</v>
      </c>
      <c r="O274" t="s">
        <v>22</v>
      </c>
      <c r="P274">
        <f t="shared" si="42"/>
        <v>0.4375</v>
      </c>
      <c r="Q274">
        <f t="shared" si="43"/>
        <v>0.5</v>
      </c>
      <c r="R274">
        <f t="shared" si="44"/>
        <v>0.46250000000000002</v>
      </c>
    </row>
    <row r="275" spans="1:18">
      <c r="A275" t="s">
        <v>307</v>
      </c>
      <c r="B275" t="s">
        <v>60</v>
      </c>
      <c r="C275" t="str">
        <f t="shared" si="36"/>
        <v>Manufacturing and operations</v>
      </c>
      <c r="D275" t="s">
        <v>27</v>
      </c>
      <c r="E275" t="str">
        <f t="shared" si="37"/>
        <v>Technova</v>
      </c>
      <c r="F275">
        <v>9</v>
      </c>
      <c r="G275">
        <v>32000</v>
      </c>
      <c r="H275" s="1">
        <v>42580</v>
      </c>
      <c r="I275">
        <v>3</v>
      </c>
      <c r="J275" t="s">
        <v>57</v>
      </c>
      <c r="K275">
        <f t="shared" si="38"/>
        <v>2</v>
      </c>
      <c r="L275">
        <f t="shared" si="39"/>
        <v>6.2500000000000001E-5</v>
      </c>
      <c r="M275" t="b">
        <f t="shared" si="40"/>
        <v>0</v>
      </c>
      <c r="N275" t="b">
        <f t="shared" si="41"/>
        <v>1</v>
      </c>
      <c r="O275" t="s">
        <v>22</v>
      </c>
      <c r="P275">
        <f t="shared" si="42"/>
        <v>0.4375</v>
      </c>
      <c r="Q275">
        <f t="shared" si="43"/>
        <v>0.5</v>
      </c>
      <c r="R275">
        <f t="shared" si="44"/>
        <v>0.46250000000000002</v>
      </c>
    </row>
    <row r="276" spans="1:18">
      <c r="A276" t="s">
        <v>308</v>
      </c>
      <c r="B276" t="s">
        <v>67</v>
      </c>
      <c r="C276" t="str">
        <f t="shared" si="36"/>
        <v>Quality Assurance</v>
      </c>
      <c r="D276" t="s">
        <v>27</v>
      </c>
      <c r="E276" t="str">
        <f t="shared" si="37"/>
        <v>Technova</v>
      </c>
      <c r="F276">
        <v>15</v>
      </c>
      <c r="G276">
        <v>32000</v>
      </c>
      <c r="H276" s="1">
        <v>39378</v>
      </c>
      <c r="I276">
        <v>3</v>
      </c>
      <c r="J276" t="s">
        <v>57</v>
      </c>
      <c r="K276">
        <f t="shared" si="38"/>
        <v>2</v>
      </c>
      <c r="L276">
        <f t="shared" si="39"/>
        <v>6.2500000000000001E-5</v>
      </c>
      <c r="M276" t="b">
        <f t="shared" si="40"/>
        <v>0</v>
      </c>
      <c r="N276" t="b">
        <f t="shared" si="41"/>
        <v>1</v>
      </c>
      <c r="O276" t="s">
        <v>22</v>
      </c>
      <c r="P276">
        <f t="shared" si="42"/>
        <v>0.4375</v>
      </c>
      <c r="Q276">
        <f t="shared" si="43"/>
        <v>0.5</v>
      </c>
      <c r="R276">
        <f t="shared" si="44"/>
        <v>0.46250000000000002</v>
      </c>
    </row>
    <row r="277" spans="1:18">
      <c r="A277" t="s">
        <v>309</v>
      </c>
      <c r="B277" t="s">
        <v>74</v>
      </c>
      <c r="C277" t="str">
        <f t="shared" si="36"/>
        <v>Human Resources</v>
      </c>
      <c r="D277" t="s">
        <v>27</v>
      </c>
      <c r="E277" t="str">
        <f t="shared" si="37"/>
        <v>Technova</v>
      </c>
      <c r="F277">
        <v>16</v>
      </c>
      <c r="G277">
        <v>39000</v>
      </c>
      <c r="H277" s="1">
        <v>41955</v>
      </c>
      <c r="I277">
        <v>4</v>
      </c>
      <c r="J277" t="s">
        <v>57</v>
      </c>
      <c r="K277">
        <f t="shared" si="38"/>
        <v>2</v>
      </c>
      <c r="L277">
        <f t="shared" si="39"/>
        <v>5.1282051282051279E-5</v>
      </c>
      <c r="M277" t="b">
        <f t="shared" si="40"/>
        <v>1</v>
      </c>
      <c r="N277" t="b">
        <f t="shared" si="41"/>
        <v>1</v>
      </c>
      <c r="O277" t="s">
        <v>22</v>
      </c>
      <c r="P277">
        <f t="shared" si="42"/>
        <v>0.26923076923076916</v>
      </c>
      <c r="Q277">
        <f t="shared" si="43"/>
        <v>0.75</v>
      </c>
      <c r="R277">
        <f t="shared" si="44"/>
        <v>0.46153846153846156</v>
      </c>
    </row>
    <row r="278" spans="1:18">
      <c r="A278" t="s">
        <v>310</v>
      </c>
      <c r="B278" t="s">
        <v>56</v>
      </c>
      <c r="C278" t="str">
        <f t="shared" si="36"/>
        <v>IT &amp; Systems</v>
      </c>
      <c r="D278" t="s">
        <v>20</v>
      </c>
      <c r="E278" t="str">
        <f t="shared" si="37"/>
        <v>Dataverse</v>
      </c>
      <c r="F278">
        <v>18</v>
      </c>
      <c r="G278">
        <v>39000</v>
      </c>
      <c r="H278" s="1">
        <v>42793</v>
      </c>
      <c r="I278">
        <v>4</v>
      </c>
      <c r="J278" t="s">
        <v>57</v>
      </c>
      <c r="K278">
        <f t="shared" si="38"/>
        <v>2</v>
      </c>
      <c r="L278">
        <f t="shared" si="39"/>
        <v>5.1282051282051279E-5</v>
      </c>
      <c r="M278" t="b">
        <f t="shared" si="40"/>
        <v>1</v>
      </c>
      <c r="N278" t="b">
        <f t="shared" si="41"/>
        <v>1</v>
      </c>
      <c r="O278" t="s">
        <v>22</v>
      </c>
      <c r="P278">
        <f t="shared" si="42"/>
        <v>0.26923076923076916</v>
      </c>
      <c r="Q278">
        <f t="shared" si="43"/>
        <v>0.75</v>
      </c>
      <c r="R278">
        <f t="shared" si="44"/>
        <v>0.46153846153846156</v>
      </c>
    </row>
    <row r="279" spans="1:18">
      <c r="A279" t="s">
        <v>311</v>
      </c>
      <c r="B279" t="s">
        <v>56</v>
      </c>
      <c r="C279" t="str">
        <f t="shared" si="36"/>
        <v>IT &amp; Systems</v>
      </c>
      <c r="D279" t="s">
        <v>27</v>
      </c>
      <c r="E279" t="str">
        <f t="shared" si="37"/>
        <v>Technova</v>
      </c>
      <c r="F279">
        <v>9</v>
      </c>
      <c r="G279">
        <v>39000</v>
      </c>
      <c r="H279" s="1">
        <v>41519</v>
      </c>
      <c r="I279">
        <v>4</v>
      </c>
      <c r="J279" t="s">
        <v>57</v>
      </c>
      <c r="K279">
        <f t="shared" si="38"/>
        <v>2</v>
      </c>
      <c r="L279">
        <f t="shared" si="39"/>
        <v>5.1282051282051279E-5</v>
      </c>
      <c r="M279" t="b">
        <f t="shared" si="40"/>
        <v>0</v>
      </c>
      <c r="N279" t="b">
        <f t="shared" si="41"/>
        <v>1</v>
      </c>
      <c r="O279" t="s">
        <v>22</v>
      </c>
      <c r="P279">
        <f t="shared" si="42"/>
        <v>0.26923076923076916</v>
      </c>
      <c r="Q279">
        <f t="shared" si="43"/>
        <v>0.75</v>
      </c>
      <c r="R279">
        <f t="shared" si="44"/>
        <v>0.46153846153846156</v>
      </c>
    </row>
    <row r="280" spans="1:18">
      <c r="A280" t="s">
        <v>312</v>
      </c>
      <c r="B280" t="s">
        <v>60</v>
      </c>
      <c r="C280" t="str">
        <f t="shared" si="36"/>
        <v>Manufacturing and operations</v>
      </c>
      <c r="D280" t="s">
        <v>20</v>
      </c>
      <c r="E280" t="str">
        <f t="shared" si="37"/>
        <v>Dataverse</v>
      </c>
      <c r="F280">
        <v>25</v>
      </c>
      <c r="G280">
        <v>39000</v>
      </c>
      <c r="H280" s="1">
        <v>42611</v>
      </c>
      <c r="I280">
        <v>4</v>
      </c>
      <c r="J280" t="s">
        <v>57</v>
      </c>
      <c r="K280">
        <f t="shared" si="38"/>
        <v>2</v>
      </c>
      <c r="L280">
        <f t="shared" si="39"/>
        <v>5.1282051282051279E-5</v>
      </c>
      <c r="M280" t="b">
        <f t="shared" si="40"/>
        <v>1</v>
      </c>
      <c r="N280" t="b">
        <f t="shared" si="41"/>
        <v>1</v>
      </c>
      <c r="O280" t="s">
        <v>22</v>
      </c>
      <c r="P280">
        <f t="shared" si="42"/>
        <v>0.26923076923076916</v>
      </c>
      <c r="Q280">
        <f t="shared" si="43"/>
        <v>0.75</v>
      </c>
      <c r="R280">
        <f t="shared" si="44"/>
        <v>0.46153846153846156</v>
      </c>
    </row>
    <row r="281" spans="1:18">
      <c r="A281" t="s">
        <v>313</v>
      </c>
      <c r="B281" t="s">
        <v>67</v>
      </c>
      <c r="C281" t="str">
        <f t="shared" si="36"/>
        <v>Quality Assurance</v>
      </c>
      <c r="D281" t="s">
        <v>20</v>
      </c>
      <c r="E281" t="str">
        <f t="shared" si="37"/>
        <v>Dataverse</v>
      </c>
      <c r="F281">
        <v>5</v>
      </c>
      <c r="G281">
        <v>39000</v>
      </c>
      <c r="H281" s="1">
        <v>43240</v>
      </c>
      <c r="I281">
        <v>4</v>
      </c>
      <c r="J281" t="s">
        <v>57</v>
      </c>
      <c r="K281">
        <f t="shared" si="38"/>
        <v>2</v>
      </c>
      <c r="L281">
        <f t="shared" si="39"/>
        <v>5.1282051282051279E-5</v>
      </c>
      <c r="M281" t="b">
        <f t="shared" si="40"/>
        <v>0</v>
      </c>
      <c r="N281" t="b">
        <f t="shared" si="41"/>
        <v>0</v>
      </c>
      <c r="O281" t="s">
        <v>22</v>
      </c>
      <c r="P281">
        <f t="shared" si="42"/>
        <v>0.26923076923076916</v>
      </c>
      <c r="Q281">
        <f t="shared" si="43"/>
        <v>0.75</v>
      </c>
      <c r="R281">
        <f t="shared" si="44"/>
        <v>0.46153846153846156</v>
      </c>
    </row>
    <row r="282" spans="1:18">
      <c r="A282" t="s">
        <v>314</v>
      </c>
      <c r="B282" t="s">
        <v>67</v>
      </c>
      <c r="C282" t="str">
        <f t="shared" si="36"/>
        <v>Quality Assurance</v>
      </c>
      <c r="D282" t="s">
        <v>20</v>
      </c>
      <c r="E282" t="str">
        <f t="shared" si="37"/>
        <v>Dataverse</v>
      </c>
      <c r="F282">
        <v>17</v>
      </c>
      <c r="G282">
        <v>39000</v>
      </c>
      <c r="H282" s="1">
        <v>39338</v>
      </c>
      <c r="I282">
        <v>4</v>
      </c>
      <c r="J282" t="s">
        <v>57</v>
      </c>
      <c r="K282">
        <f t="shared" si="38"/>
        <v>2</v>
      </c>
      <c r="L282">
        <f t="shared" si="39"/>
        <v>5.1282051282051279E-5</v>
      </c>
      <c r="M282" t="b">
        <f t="shared" si="40"/>
        <v>1</v>
      </c>
      <c r="N282" t="b">
        <f t="shared" si="41"/>
        <v>1</v>
      </c>
      <c r="O282" t="s">
        <v>22</v>
      </c>
      <c r="P282">
        <f t="shared" si="42"/>
        <v>0.26923076923076916</v>
      </c>
      <c r="Q282">
        <f t="shared" si="43"/>
        <v>0.75</v>
      </c>
      <c r="R282">
        <f t="shared" si="44"/>
        <v>0.46153846153846156</v>
      </c>
    </row>
    <row r="283" spans="1:18">
      <c r="A283" t="s">
        <v>315</v>
      </c>
      <c r="B283" t="s">
        <v>19</v>
      </c>
      <c r="C283" t="str">
        <f t="shared" si="36"/>
        <v>Research &amp; Department</v>
      </c>
      <c r="D283" t="s">
        <v>20</v>
      </c>
      <c r="E283" t="str">
        <f t="shared" si="37"/>
        <v>Dataverse</v>
      </c>
      <c r="F283">
        <v>2</v>
      </c>
      <c r="G283">
        <v>25000</v>
      </c>
      <c r="H283" s="1">
        <v>41728</v>
      </c>
      <c r="I283">
        <v>5</v>
      </c>
      <c r="J283" t="s">
        <v>21</v>
      </c>
      <c r="K283">
        <f t="shared" si="38"/>
        <v>1</v>
      </c>
      <c r="L283">
        <f t="shared" si="39"/>
        <v>4.0000000000000003E-5</v>
      </c>
      <c r="M283" t="b">
        <f t="shared" si="40"/>
        <v>0</v>
      </c>
      <c r="N283" t="b">
        <f t="shared" si="41"/>
        <v>0</v>
      </c>
      <c r="O283" t="s">
        <v>22</v>
      </c>
      <c r="P283">
        <f t="shared" si="42"/>
        <v>0.10000000000000002</v>
      </c>
      <c r="Q283">
        <f t="shared" si="43"/>
        <v>1</v>
      </c>
      <c r="R283">
        <f t="shared" si="44"/>
        <v>0.46</v>
      </c>
    </row>
    <row r="284" spans="1:18">
      <c r="A284" t="s">
        <v>316</v>
      </c>
      <c r="B284" t="s">
        <v>204</v>
      </c>
      <c r="C284" t="str">
        <f t="shared" si="36"/>
        <v>Administrative Services</v>
      </c>
      <c r="D284" t="s">
        <v>27</v>
      </c>
      <c r="E284" t="str">
        <f t="shared" si="37"/>
        <v>Technova</v>
      </c>
      <c r="F284">
        <v>7</v>
      </c>
      <c r="G284">
        <v>75000</v>
      </c>
      <c r="H284" s="1">
        <v>44161</v>
      </c>
      <c r="I284">
        <v>5</v>
      </c>
      <c r="J284" t="s">
        <v>174</v>
      </c>
      <c r="K284">
        <f t="shared" si="38"/>
        <v>3</v>
      </c>
      <c r="L284">
        <f t="shared" si="39"/>
        <v>4.0000000000000003E-5</v>
      </c>
      <c r="M284" t="b">
        <f t="shared" si="40"/>
        <v>0</v>
      </c>
      <c r="N284" t="b">
        <f t="shared" si="41"/>
        <v>1</v>
      </c>
      <c r="O284" t="s">
        <v>22</v>
      </c>
      <c r="P284">
        <f t="shared" si="42"/>
        <v>0.10000000000000002</v>
      </c>
      <c r="Q284">
        <f t="shared" si="43"/>
        <v>1</v>
      </c>
      <c r="R284">
        <f t="shared" si="44"/>
        <v>0.46</v>
      </c>
    </row>
    <row r="285" spans="1:18">
      <c r="A285" t="s">
        <v>317</v>
      </c>
      <c r="B285" t="s">
        <v>19</v>
      </c>
      <c r="C285" t="str">
        <f t="shared" si="36"/>
        <v>Research &amp; Department</v>
      </c>
      <c r="D285" t="s">
        <v>27</v>
      </c>
      <c r="E285" t="str">
        <f t="shared" si="37"/>
        <v>Technova</v>
      </c>
      <c r="F285">
        <v>25</v>
      </c>
      <c r="G285">
        <v>25000</v>
      </c>
      <c r="H285" s="1">
        <v>43270</v>
      </c>
      <c r="I285">
        <v>5</v>
      </c>
      <c r="J285" t="s">
        <v>21</v>
      </c>
      <c r="K285">
        <f t="shared" si="38"/>
        <v>1</v>
      </c>
      <c r="L285">
        <f t="shared" si="39"/>
        <v>4.0000000000000003E-5</v>
      </c>
      <c r="M285" t="b">
        <f t="shared" si="40"/>
        <v>1</v>
      </c>
      <c r="N285" t="b">
        <f t="shared" si="41"/>
        <v>1</v>
      </c>
      <c r="O285" t="s">
        <v>22</v>
      </c>
      <c r="P285">
        <f t="shared" si="42"/>
        <v>0.10000000000000002</v>
      </c>
      <c r="Q285">
        <f t="shared" si="43"/>
        <v>1</v>
      </c>
      <c r="R285">
        <f t="shared" si="44"/>
        <v>0.46</v>
      </c>
    </row>
    <row r="286" spans="1:18">
      <c r="A286" t="s">
        <v>318</v>
      </c>
      <c r="B286" t="s">
        <v>19</v>
      </c>
      <c r="C286" t="str">
        <f t="shared" si="36"/>
        <v>Research &amp; Department</v>
      </c>
      <c r="D286" t="s">
        <v>20</v>
      </c>
      <c r="E286" t="str">
        <f t="shared" si="37"/>
        <v>Dataverse</v>
      </c>
      <c r="F286">
        <v>2</v>
      </c>
      <c r="G286">
        <v>25000</v>
      </c>
      <c r="H286" s="1">
        <v>39536</v>
      </c>
      <c r="I286">
        <v>5</v>
      </c>
      <c r="J286" t="s">
        <v>21</v>
      </c>
      <c r="K286">
        <f t="shared" si="38"/>
        <v>1</v>
      </c>
      <c r="L286">
        <f t="shared" si="39"/>
        <v>4.0000000000000003E-5</v>
      </c>
      <c r="M286" t="b">
        <f t="shared" si="40"/>
        <v>0</v>
      </c>
      <c r="N286" t="b">
        <f t="shared" si="41"/>
        <v>0</v>
      </c>
      <c r="O286" t="s">
        <v>22</v>
      </c>
      <c r="P286">
        <f t="shared" si="42"/>
        <v>0.10000000000000002</v>
      </c>
      <c r="Q286">
        <f t="shared" si="43"/>
        <v>1</v>
      </c>
      <c r="R286">
        <f t="shared" si="44"/>
        <v>0.46</v>
      </c>
    </row>
    <row r="287" spans="1:18">
      <c r="A287" t="s">
        <v>319</v>
      </c>
      <c r="B287" t="s">
        <v>224</v>
      </c>
      <c r="C287" t="str">
        <f t="shared" si="36"/>
        <v>Business Strategy</v>
      </c>
      <c r="D287" t="s">
        <v>20</v>
      </c>
      <c r="E287" t="str">
        <f t="shared" si="37"/>
        <v>Dataverse</v>
      </c>
      <c r="F287">
        <v>3</v>
      </c>
      <c r="G287">
        <v>75000</v>
      </c>
      <c r="H287" s="1">
        <v>38579</v>
      </c>
      <c r="I287">
        <v>5</v>
      </c>
      <c r="J287" t="s">
        <v>174</v>
      </c>
      <c r="K287">
        <f t="shared" si="38"/>
        <v>3</v>
      </c>
      <c r="L287">
        <f t="shared" si="39"/>
        <v>4.0000000000000003E-5</v>
      </c>
      <c r="M287" t="b">
        <f t="shared" si="40"/>
        <v>0</v>
      </c>
      <c r="N287" t="b">
        <f t="shared" si="41"/>
        <v>0</v>
      </c>
      <c r="O287" t="s">
        <v>22</v>
      </c>
      <c r="P287">
        <f t="shared" si="42"/>
        <v>0.10000000000000002</v>
      </c>
      <c r="Q287">
        <f t="shared" si="43"/>
        <v>1</v>
      </c>
      <c r="R287">
        <f t="shared" si="44"/>
        <v>0.46</v>
      </c>
    </row>
    <row r="288" spans="1:18">
      <c r="A288" t="s">
        <v>320</v>
      </c>
      <c r="B288" t="s">
        <v>56</v>
      </c>
      <c r="C288" t="str">
        <f t="shared" si="36"/>
        <v>IT &amp; Systems</v>
      </c>
      <c r="D288" t="s">
        <v>20</v>
      </c>
      <c r="E288" t="str">
        <f t="shared" si="37"/>
        <v>Dataverse</v>
      </c>
      <c r="F288">
        <v>1</v>
      </c>
      <c r="G288">
        <v>50000</v>
      </c>
      <c r="H288" s="1">
        <v>45276</v>
      </c>
      <c r="I288">
        <v>5</v>
      </c>
      <c r="J288" t="s">
        <v>57</v>
      </c>
      <c r="K288">
        <f t="shared" si="38"/>
        <v>2</v>
      </c>
      <c r="L288">
        <f t="shared" si="39"/>
        <v>4.0000000000000003E-5</v>
      </c>
      <c r="M288" t="b">
        <f t="shared" si="40"/>
        <v>0</v>
      </c>
      <c r="N288" t="b">
        <f t="shared" si="41"/>
        <v>0</v>
      </c>
      <c r="O288" t="s">
        <v>22</v>
      </c>
      <c r="P288">
        <f t="shared" si="42"/>
        <v>0.10000000000000002</v>
      </c>
      <c r="Q288">
        <f t="shared" si="43"/>
        <v>1</v>
      </c>
      <c r="R288">
        <f t="shared" si="44"/>
        <v>0.46</v>
      </c>
    </row>
    <row r="289" spans="1:18">
      <c r="A289" t="s">
        <v>321</v>
      </c>
      <c r="B289" t="s">
        <v>56</v>
      </c>
      <c r="C289" t="str">
        <f t="shared" si="36"/>
        <v>IT &amp; Systems</v>
      </c>
      <c r="D289" t="s">
        <v>27</v>
      </c>
      <c r="E289" t="str">
        <f t="shared" si="37"/>
        <v>Technova</v>
      </c>
      <c r="F289">
        <v>19</v>
      </c>
      <c r="G289">
        <v>50000</v>
      </c>
      <c r="H289" s="1">
        <v>40504</v>
      </c>
      <c r="I289">
        <v>5</v>
      </c>
      <c r="J289" t="s">
        <v>57</v>
      </c>
      <c r="K289">
        <f t="shared" si="38"/>
        <v>2</v>
      </c>
      <c r="L289">
        <f t="shared" si="39"/>
        <v>4.0000000000000003E-5</v>
      </c>
      <c r="M289" t="b">
        <f t="shared" si="40"/>
        <v>1</v>
      </c>
      <c r="N289" t="b">
        <f t="shared" si="41"/>
        <v>1</v>
      </c>
      <c r="O289" t="s">
        <v>22</v>
      </c>
      <c r="P289">
        <f t="shared" si="42"/>
        <v>0.10000000000000002</v>
      </c>
      <c r="Q289">
        <f t="shared" si="43"/>
        <v>1</v>
      </c>
      <c r="R289">
        <f t="shared" si="44"/>
        <v>0.46</v>
      </c>
    </row>
    <row r="290" spans="1:18">
      <c r="A290" t="s">
        <v>322</v>
      </c>
      <c r="B290" t="s">
        <v>56</v>
      </c>
      <c r="C290" t="str">
        <f t="shared" si="36"/>
        <v>IT &amp; Systems</v>
      </c>
      <c r="D290" t="s">
        <v>27</v>
      </c>
      <c r="E290" t="str">
        <f t="shared" si="37"/>
        <v>Technova</v>
      </c>
      <c r="F290">
        <v>3</v>
      </c>
      <c r="G290">
        <v>50000</v>
      </c>
      <c r="H290" s="1">
        <v>42381</v>
      </c>
      <c r="I290">
        <v>5</v>
      </c>
      <c r="J290" t="s">
        <v>57</v>
      </c>
      <c r="K290">
        <f t="shared" si="38"/>
        <v>2</v>
      </c>
      <c r="L290">
        <f t="shared" si="39"/>
        <v>4.0000000000000003E-5</v>
      </c>
      <c r="M290" t="b">
        <f t="shared" si="40"/>
        <v>0</v>
      </c>
      <c r="N290" t="b">
        <f t="shared" si="41"/>
        <v>0</v>
      </c>
      <c r="O290" t="s">
        <v>22</v>
      </c>
      <c r="P290">
        <f t="shared" si="42"/>
        <v>0.10000000000000002</v>
      </c>
      <c r="Q290">
        <f t="shared" si="43"/>
        <v>1</v>
      </c>
      <c r="R290">
        <f t="shared" si="44"/>
        <v>0.46</v>
      </c>
    </row>
    <row r="291" spans="1:18">
      <c r="A291" t="s">
        <v>323</v>
      </c>
      <c r="B291" t="s">
        <v>56</v>
      </c>
      <c r="C291" t="str">
        <f t="shared" si="36"/>
        <v>IT &amp; Systems</v>
      </c>
      <c r="D291" t="s">
        <v>27</v>
      </c>
      <c r="E291" t="str">
        <f t="shared" si="37"/>
        <v>Technova</v>
      </c>
      <c r="F291">
        <v>10</v>
      </c>
      <c r="G291">
        <v>50000</v>
      </c>
      <c r="H291" s="1">
        <v>40361</v>
      </c>
      <c r="I291">
        <v>5</v>
      </c>
      <c r="J291" t="s">
        <v>57</v>
      </c>
      <c r="K291">
        <f t="shared" si="38"/>
        <v>2</v>
      </c>
      <c r="L291">
        <f t="shared" si="39"/>
        <v>4.0000000000000003E-5</v>
      </c>
      <c r="M291" t="b">
        <f t="shared" si="40"/>
        <v>0</v>
      </c>
      <c r="N291" t="b">
        <f t="shared" si="41"/>
        <v>1</v>
      </c>
      <c r="O291" t="s">
        <v>22</v>
      </c>
      <c r="P291">
        <f t="shared" si="42"/>
        <v>0.10000000000000002</v>
      </c>
      <c r="Q291">
        <f t="shared" si="43"/>
        <v>1</v>
      </c>
      <c r="R291">
        <f t="shared" si="44"/>
        <v>0.46</v>
      </c>
    </row>
    <row r="292" spans="1:18">
      <c r="A292" t="s">
        <v>324</v>
      </c>
      <c r="B292" t="s">
        <v>60</v>
      </c>
      <c r="C292" t="str">
        <f t="shared" si="36"/>
        <v>Manufacturing and operations</v>
      </c>
      <c r="D292" t="s">
        <v>27</v>
      </c>
      <c r="E292" t="str">
        <f t="shared" si="37"/>
        <v>Technova</v>
      </c>
      <c r="F292">
        <v>23</v>
      </c>
      <c r="G292">
        <v>50000</v>
      </c>
      <c r="H292" s="1">
        <v>41458</v>
      </c>
      <c r="I292">
        <v>5</v>
      </c>
      <c r="J292" t="s">
        <v>57</v>
      </c>
      <c r="K292">
        <f t="shared" si="38"/>
        <v>2</v>
      </c>
      <c r="L292">
        <f t="shared" si="39"/>
        <v>4.0000000000000003E-5</v>
      </c>
      <c r="M292" t="b">
        <f t="shared" si="40"/>
        <v>1</v>
      </c>
      <c r="N292" t="b">
        <f t="shared" si="41"/>
        <v>1</v>
      </c>
      <c r="O292" t="s">
        <v>22</v>
      </c>
      <c r="P292">
        <f t="shared" si="42"/>
        <v>0.10000000000000002</v>
      </c>
      <c r="Q292">
        <f t="shared" si="43"/>
        <v>1</v>
      </c>
      <c r="R292">
        <f t="shared" si="44"/>
        <v>0.46</v>
      </c>
    </row>
    <row r="293" spans="1:18">
      <c r="A293" t="s">
        <v>325</v>
      </c>
      <c r="B293" t="s">
        <v>60</v>
      </c>
      <c r="C293" t="str">
        <f t="shared" si="36"/>
        <v>Manufacturing and operations</v>
      </c>
      <c r="D293" t="s">
        <v>27</v>
      </c>
      <c r="E293" t="str">
        <f t="shared" si="37"/>
        <v>Technova</v>
      </c>
      <c r="F293">
        <v>18</v>
      </c>
      <c r="G293">
        <v>50000</v>
      </c>
      <c r="H293" s="1">
        <v>42578</v>
      </c>
      <c r="I293">
        <v>5</v>
      </c>
      <c r="J293" t="s">
        <v>57</v>
      </c>
      <c r="K293">
        <f t="shared" si="38"/>
        <v>2</v>
      </c>
      <c r="L293">
        <f t="shared" si="39"/>
        <v>4.0000000000000003E-5</v>
      </c>
      <c r="M293" t="b">
        <f t="shared" si="40"/>
        <v>1</v>
      </c>
      <c r="N293" t="b">
        <f t="shared" si="41"/>
        <v>1</v>
      </c>
      <c r="O293" t="s">
        <v>22</v>
      </c>
      <c r="P293">
        <f t="shared" si="42"/>
        <v>0.10000000000000002</v>
      </c>
      <c r="Q293">
        <f t="shared" si="43"/>
        <v>1</v>
      </c>
      <c r="R293">
        <f t="shared" si="44"/>
        <v>0.46</v>
      </c>
    </row>
    <row r="294" spans="1:18">
      <c r="A294" t="s">
        <v>326</v>
      </c>
      <c r="B294" t="s">
        <v>60</v>
      </c>
      <c r="C294" t="str">
        <f t="shared" si="36"/>
        <v>Manufacturing and operations</v>
      </c>
      <c r="D294" t="s">
        <v>27</v>
      </c>
      <c r="E294" t="str">
        <f t="shared" si="37"/>
        <v>Technova</v>
      </c>
      <c r="F294">
        <v>15</v>
      </c>
      <c r="G294">
        <v>50000</v>
      </c>
      <c r="H294" s="1">
        <v>42707</v>
      </c>
      <c r="I294">
        <v>5</v>
      </c>
      <c r="J294" t="s">
        <v>57</v>
      </c>
      <c r="K294">
        <f t="shared" si="38"/>
        <v>2</v>
      </c>
      <c r="L294">
        <f t="shared" si="39"/>
        <v>4.0000000000000003E-5</v>
      </c>
      <c r="M294" t="b">
        <f t="shared" si="40"/>
        <v>0</v>
      </c>
      <c r="N294" t="b">
        <f t="shared" si="41"/>
        <v>1</v>
      </c>
      <c r="O294" t="s">
        <v>22</v>
      </c>
      <c r="P294">
        <f t="shared" si="42"/>
        <v>0.10000000000000002</v>
      </c>
      <c r="Q294">
        <f t="shared" si="43"/>
        <v>1</v>
      </c>
      <c r="R294">
        <f t="shared" si="44"/>
        <v>0.46</v>
      </c>
    </row>
    <row r="295" spans="1:18">
      <c r="A295" t="s">
        <v>327</v>
      </c>
      <c r="B295" t="s">
        <v>60</v>
      </c>
      <c r="C295" t="str">
        <f t="shared" si="36"/>
        <v>Manufacturing and operations</v>
      </c>
      <c r="D295" t="s">
        <v>27</v>
      </c>
      <c r="E295" t="str">
        <f t="shared" si="37"/>
        <v>Technova</v>
      </c>
      <c r="F295">
        <v>7</v>
      </c>
      <c r="G295">
        <v>50000</v>
      </c>
      <c r="H295" s="1">
        <v>42112</v>
      </c>
      <c r="I295">
        <v>5</v>
      </c>
      <c r="J295" t="s">
        <v>57</v>
      </c>
      <c r="K295">
        <f t="shared" si="38"/>
        <v>2</v>
      </c>
      <c r="L295">
        <f t="shared" si="39"/>
        <v>4.0000000000000003E-5</v>
      </c>
      <c r="M295" t="b">
        <f t="shared" si="40"/>
        <v>0</v>
      </c>
      <c r="N295" t="b">
        <f t="shared" si="41"/>
        <v>1</v>
      </c>
      <c r="O295" t="s">
        <v>22</v>
      </c>
      <c r="P295">
        <f t="shared" si="42"/>
        <v>0.10000000000000002</v>
      </c>
      <c r="Q295">
        <f t="shared" si="43"/>
        <v>1</v>
      </c>
      <c r="R295">
        <f t="shared" si="44"/>
        <v>0.46</v>
      </c>
    </row>
    <row r="296" spans="1:18">
      <c r="A296" t="s">
        <v>328</v>
      </c>
      <c r="B296" t="s">
        <v>60</v>
      </c>
      <c r="C296" t="str">
        <f t="shared" si="36"/>
        <v>Manufacturing and operations</v>
      </c>
      <c r="D296" t="s">
        <v>27</v>
      </c>
      <c r="E296" t="str">
        <f t="shared" si="37"/>
        <v>Technova</v>
      </c>
      <c r="F296">
        <v>4</v>
      </c>
      <c r="G296">
        <v>50000</v>
      </c>
      <c r="H296" s="1">
        <v>40744</v>
      </c>
      <c r="I296">
        <v>5</v>
      </c>
      <c r="J296" t="s">
        <v>57</v>
      </c>
      <c r="K296">
        <f t="shared" si="38"/>
        <v>2</v>
      </c>
      <c r="L296">
        <f t="shared" si="39"/>
        <v>4.0000000000000003E-5</v>
      </c>
      <c r="M296" t="b">
        <f t="shared" si="40"/>
        <v>0</v>
      </c>
      <c r="N296" t="b">
        <f t="shared" si="41"/>
        <v>0</v>
      </c>
      <c r="O296" t="s">
        <v>22</v>
      </c>
      <c r="P296">
        <f t="shared" si="42"/>
        <v>0.10000000000000002</v>
      </c>
      <c r="Q296">
        <f t="shared" si="43"/>
        <v>1</v>
      </c>
      <c r="R296">
        <f t="shared" si="44"/>
        <v>0.46</v>
      </c>
    </row>
    <row r="297" spans="1:18">
      <c r="A297" t="s">
        <v>329</v>
      </c>
      <c r="B297" t="s">
        <v>224</v>
      </c>
      <c r="C297" t="str">
        <f t="shared" si="36"/>
        <v>Business Strategy</v>
      </c>
      <c r="D297" t="s">
        <v>20</v>
      </c>
      <c r="E297" t="str">
        <f t="shared" si="37"/>
        <v>Dataverse</v>
      </c>
      <c r="F297">
        <v>13</v>
      </c>
      <c r="G297">
        <v>76000</v>
      </c>
      <c r="H297" s="1">
        <v>39505</v>
      </c>
      <c r="I297">
        <v>5</v>
      </c>
      <c r="J297" t="s">
        <v>174</v>
      </c>
      <c r="K297">
        <f t="shared" si="38"/>
        <v>3</v>
      </c>
      <c r="L297">
        <f t="shared" si="39"/>
        <v>3.9473684210526316E-5</v>
      </c>
      <c r="M297" t="b">
        <f t="shared" si="40"/>
        <v>0</v>
      </c>
      <c r="N297" t="b">
        <f t="shared" si="41"/>
        <v>1</v>
      </c>
      <c r="O297" t="s">
        <v>22</v>
      </c>
      <c r="P297">
        <f t="shared" si="42"/>
        <v>9.2105263157894718E-2</v>
      </c>
      <c r="Q297">
        <f t="shared" si="43"/>
        <v>1</v>
      </c>
      <c r="R297">
        <f t="shared" si="44"/>
        <v>0.45526315789473687</v>
      </c>
    </row>
    <row r="298" spans="1:18">
      <c r="A298" t="s">
        <v>330</v>
      </c>
      <c r="B298" t="s">
        <v>204</v>
      </c>
      <c r="C298" t="str">
        <f t="shared" si="36"/>
        <v>Administrative Services</v>
      </c>
      <c r="D298" t="s">
        <v>27</v>
      </c>
      <c r="E298" t="str">
        <f t="shared" si="37"/>
        <v>Technova</v>
      </c>
      <c r="F298">
        <v>12</v>
      </c>
      <c r="G298">
        <v>77000</v>
      </c>
      <c r="H298" s="1">
        <v>40991</v>
      </c>
      <c r="I298">
        <v>5</v>
      </c>
      <c r="J298" t="s">
        <v>174</v>
      </c>
      <c r="K298">
        <f t="shared" si="38"/>
        <v>3</v>
      </c>
      <c r="L298">
        <f t="shared" si="39"/>
        <v>3.896103896103896E-5</v>
      </c>
      <c r="M298" t="b">
        <f t="shared" si="40"/>
        <v>0</v>
      </c>
      <c r="N298" t="b">
        <f t="shared" si="41"/>
        <v>1</v>
      </c>
      <c r="O298" t="s">
        <v>22</v>
      </c>
      <c r="P298">
        <f t="shared" si="42"/>
        <v>8.441558441558436E-2</v>
      </c>
      <c r="Q298">
        <f t="shared" si="43"/>
        <v>1</v>
      </c>
      <c r="R298">
        <f t="shared" si="44"/>
        <v>0.45064935064935063</v>
      </c>
    </row>
    <row r="299" spans="1:18">
      <c r="A299" t="s">
        <v>331</v>
      </c>
      <c r="B299" t="s">
        <v>70</v>
      </c>
      <c r="C299" t="str">
        <f t="shared" si="36"/>
        <v>Customer Experience</v>
      </c>
      <c r="D299" t="s">
        <v>27</v>
      </c>
      <c r="E299" t="str">
        <f t="shared" si="37"/>
        <v>Technova</v>
      </c>
      <c r="F299">
        <v>2</v>
      </c>
      <c r="G299">
        <v>40000</v>
      </c>
      <c r="H299" s="1">
        <v>41618</v>
      </c>
      <c r="I299">
        <v>4</v>
      </c>
      <c r="J299" t="s">
        <v>57</v>
      </c>
      <c r="K299">
        <f t="shared" si="38"/>
        <v>2</v>
      </c>
      <c r="L299">
        <f t="shared" si="39"/>
        <v>5.0000000000000002E-5</v>
      </c>
      <c r="M299" t="b">
        <f t="shared" si="40"/>
        <v>0</v>
      </c>
      <c r="N299" t="b">
        <f t="shared" si="41"/>
        <v>0</v>
      </c>
      <c r="O299" t="s">
        <v>22</v>
      </c>
      <c r="P299">
        <f t="shared" si="42"/>
        <v>0.25</v>
      </c>
      <c r="Q299">
        <f t="shared" si="43"/>
        <v>0.75</v>
      </c>
      <c r="R299">
        <f t="shared" si="44"/>
        <v>0.45000000000000007</v>
      </c>
    </row>
    <row r="300" spans="1:18">
      <c r="A300" t="s">
        <v>332</v>
      </c>
      <c r="B300" t="s">
        <v>74</v>
      </c>
      <c r="C300" t="str">
        <f t="shared" si="36"/>
        <v>Human Resources</v>
      </c>
      <c r="D300" t="s">
        <v>20</v>
      </c>
      <c r="E300" t="str">
        <f t="shared" si="37"/>
        <v>Dataverse</v>
      </c>
      <c r="F300">
        <v>11</v>
      </c>
      <c r="G300">
        <v>40000</v>
      </c>
      <c r="H300" s="1">
        <v>39426</v>
      </c>
      <c r="I300">
        <v>4</v>
      </c>
      <c r="J300" t="s">
        <v>57</v>
      </c>
      <c r="K300">
        <f t="shared" si="38"/>
        <v>2</v>
      </c>
      <c r="L300">
        <f t="shared" si="39"/>
        <v>5.0000000000000002E-5</v>
      </c>
      <c r="M300" t="b">
        <f t="shared" si="40"/>
        <v>0</v>
      </c>
      <c r="N300" t="b">
        <f t="shared" si="41"/>
        <v>1</v>
      </c>
      <c r="O300" t="s">
        <v>22</v>
      </c>
      <c r="P300">
        <f t="shared" si="42"/>
        <v>0.25</v>
      </c>
      <c r="Q300">
        <f t="shared" si="43"/>
        <v>0.75</v>
      </c>
      <c r="R300">
        <f t="shared" si="44"/>
        <v>0.45000000000000007</v>
      </c>
    </row>
    <row r="301" spans="1:18">
      <c r="A301" t="s">
        <v>333</v>
      </c>
      <c r="B301" t="s">
        <v>19</v>
      </c>
      <c r="C301" t="str">
        <f t="shared" si="36"/>
        <v>Research &amp; Department</v>
      </c>
      <c r="D301" t="s">
        <v>20</v>
      </c>
      <c r="E301" t="str">
        <f t="shared" si="37"/>
        <v>Dataverse</v>
      </c>
      <c r="F301">
        <v>17</v>
      </c>
      <c r="G301">
        <v>20000</v>
      </c>
      <c r="H301" s="1">
        <v>44310</v>
      </c>
      <c r="I301">
        <v>4</v>
      </c>
      <c r="J301" t="s">
        <v>21</v>
      </c>
      <c r="K301">
        <f t="shared" si="38"/>
        <v>1</v>
      </c>
      <c r="L301">
        <f t="shared" si="39"/>
        <v>5.0000000000000002E-5</v>
      </c>
      <c r="M301" t="b">
        <f t="shared" si="40"/>
        <v>1</v>
      </c>
      <c r="N301" t="b">
        <f t="shared" si="41"/>
        <v>1</v>
      </c>
      <c r="O301" t="s">
        <v>22</v>
      </c>
      <c r="P301">
        <f t="shared" si="42"/>
        <v>0.25</v>
      </c>
      <c r="Q301">
        <f t="shared" si="43"/>
        <v>0.75</v>
      </c>
      <c r="R301">
        <f t="shared" si="44"/>
        <v>0.45000000000000007</v>
      </c>
    </row>
    <row r="302" spans="1:18">
      <c r="A302" t="s">
        <v>334</v>
      </c>
      <c r="B302" t="s">
        <v>56</v>
      </c>
      <c r="C302" t="str">
        <f t="shared" si="36"/>
        <v>IT &amp; Systems</v>
      </c>
      <c r="D302" t="s">
        <v>20</v>
      </c>
      <c r="E302" t="str">
        <f t="shared" si="37"/>
        <v>Dataverse</v>
      </c>
      <c r="F302">
        <v>2</v>
      </c>
      <c r="G302">
        <v>40000</v>
      </c>
      <c r="H302" s="1">
        <v>41227</v>
      </c>
      <c r="I302">
        <v>4</v>
      </c>
      <c r="J302" t="s">
        <v>57</v>
      </c>
      <c r="K302">
        <f t="shared" si="38"/>
        <v>2</v>
      </c>
      <c r="L302">
        <f t="shared" si="39"/>
        <v>5.0000000000000002E-5</v>
      </c>
      <c r="M302" t="b">
        <f t="shared" si="40"/>
        <v>0</v>
      </c>
      <c r="N302" t="b">
        <f t="shared" si="41"/>
        <v>0</v>
      </c>
      <c r="O302" t="s">
        <v>22</v>
      </c>
      <c r="P302">
        <f t="shared" si="42"/>
        <v>0.25</v>
      </c>
      <c r="Q302">
        <f t="shared" si="43"/>
        <v>0.75</v>
      </c>
      <c r="R302">
        <f t="shared" si="44"/>
        <v>0.45000000000000007</v>
      </c>
    </row>
    <row r="303" spans="1:18">
      <c r="A303" t="s">
        <v>335</v>
      </c>
      <c r="B303" t="s">
        <v>19</v>
      </c>
      <c r="C303" t="str">
        <f t="shared" si="36"/>
        <v>Research &amp; Department</v>
      </c>
      <c r="D303" t="s">
        <v>20</v>
      </c>
      <c r="E303" t="str">
        <f t="shared" si="37"/>
        <v>Dataverse</v>
      </c>
      <c r="F303">
        <v>19</v>
      </c>
      <c r="G303">
        <v>20000</v>
      </c>
      <c r="H303" s="1">
        <v>38610</v>
      </c>
      <c r="I303">
        <v>4</v>
      </c>
      <c r="J303" t="s">
        <v>21</v>
      </c>
      <c r="K303">
        <f t="shared" si="38"/>
        <v>1</v>
      </c>
      <c r="L303">
        <f t="shared" si="39"/>
        <v>5.0000000000000002E-5</v>
      </c>
      <c r="M303" t="b">
        <f t="shared" si="40"/>
        <v>1</v>
      </c>
      <c r="N303" t="b">
        <f t="shared" si="41"/>
        <v>1</v>
      </c>
      <c r="O303" t="s">
        <v>22</v>
      </c>
      <c r="P303">
        <f t="shared" si="42"/>
        <v>0.25</v>
      </c>
      <c r="Q303">
        <f t="shared" si="43"/>
        <v>0.75</v>
      </c>
      <c r="R303">
        <f t="shared" si="44"/>
        <v>0.45000000000000007</v>
      </c>
    </row>
    <row r="304" spans="1:18">
      <c r="A304" t="s">
        <v>336</v>
      </c>
      <c r="B304" t="s">
        <v>56</v>
      </c>
      <c r="C304" t="str">
        <f t="shared" si="36"/>
        <v>IT &amp; Systems</v>
      </c>
      <c r="D304" t="s">
        <v>27</v>
      </c>
      <c r="E304" t="str">
        <f t="shared" si="37"/>
        <v>Technova</v>
      </c>
      <c r="F304">
        <v>14</v>
      </c>
      <c r="G304">
        <v>40000</v>
      </c>
      <c r="H304" s="1">
        <v>42220</v>
      </c>
      <c r="I304">
        <v>4</v>
      </c>
      <c r="J304" t="s">
        <v>57</v>
      </c>
      <c r="K304">
        <f t="shared" si="38"/>
        <v>2</v>
      </c>
      <c r="L304">
        <f t="shared" si="39"/>
        <v>5.0000000000000002E-5</v>
      </c>
      <c r="M304" t="b">
        <f t="shared" si="40"/>
        <v>0</v>
      </c>
      <c r="N304" t="b">
        <f t="shared" si="41"/>
        <v>1</v>
      </c>
      <c r="O304" t="s">
        <v>22</v>
      </c>
      <c r="P304">
        <f t="shared" si="42"/>
        <v>0.25</v>
      </c>
      <c r="Q304">
        <f t="shared" si="43"/>
        <v>0.75</v>
      </c>
      <c r="R304">
        <f t="shared" si="44"/>
        <v>0.45000000000000007</v>
      </c>
    </row>
    <row r="305" spans="1:18">
      <c r="A305" t="s">
        <v>337</v>
      </c>
      <c r="B305" t="s">
        <v>56</v>
      </c>
      <c r="C305" t="str">
        <f t="shared" si="36"/>
        <v>IT &amp; Systems</v>
      </c>
      <c r="D305" t="s">
        <v>27</v>
      </c>
      <c r="E305" t="str">
        <f t="shared" si="37"/>
        <v>Technova</v>
      </c>
      <c r="F305">
        <v>18</v>
      </c>
      <c r="G305">
        <v>40000</v>
      </c>
      <c r="H305" s="1">
        <v>43575</v>
      </c>
      <c r="I305">
        <v>4</v>
      </c>
      <c r="J305" t="s">
        <v>57</v>
      </c>
      <c r="K305">
        <f t="shared" si="38"/>
        <v>2</v>
      </c>
      <c r="L305">
        <f t="shared" si="39"/>
        <v>5.0000000000000002E-5</v>
      </c>
      <c r="M305" t="b">
        <f t="shared" si="40"/>
        <v>1</v>
      </c>
      <c r="N305" t="b">
        <f t="shared" si="41"/>
        <v>1</v>
      </c>
      <c r="O305" t="s">
        <v>22</v>
      </c>
      <c r="P305">
        <f t="shared" si="42"/>
        <v>0.25</v>
      </c>
      <c r="Q305">
        <f t="shared" si="43"/>
        <v>0.75</v>
      </c>
      <c r="R305">
        <f t="shared" si="44"/>
        <v>0.45000000000000007</v>
      </c>
    </row>
    <row r="306" spans="1:18">
      <c r="A306" t="s">
        <v>338</v>
      </c>
      <c r="B306" t="s">
        <v>60</v>
      </c>
      <c r="C306" t="str">
        <f t="shared" si="36"/>
        <v>Manufacturing and operations</v>
      </c>
      <c r="D306" t="s">
        <v>20</v>
      </c>
      <c r="E306" t="str">
        <f t="shared" si="37"/>
        <v>Dataverse</v>
      </c>
      <c r="F306">
        <v>1</v>
      </c>
      <c r="G306">
        <v>40000</v>
      </c>
      <c r="H306" s="1">
        <v>40933</v>
      </c>
      <c r="I306">
        <v>4</v>
      </c>
      <c r="J306" t="s">
        <v>57</v>
      </c>
      <c r="K306">
        <f t="shared" si="38"/>
        <v>2</v>
      </c>
      <c r="L306">
        <f t="shared" si="39"/>
        <v>5.0000000000000002E-5</v>
      </c>
      <c r="M306" t="b">
        <f t="shared" si="40"/>
        <v>0</v>
      </c>
      <c r="N306" t="b">
        <f t="shared" si="41"/>
        <v>0</v>
      </c>
      <c r="O306" t="s">
        <v>22</v>
      </c>
      <c r="P306">
        <f t="shared" si="42"/>
        <v>0.25</v>
      </c>
      <c r="Q306">
        <f t="shared" si="43"/>
        <v>0.75</v>
      </c>
      <c r="R306">
        <f t="shared" si="44"/>
        <v>0.45000000000000007</v>
      </c>
    </row>
    <row r="307" spans="1:18">
      <c r="A307" t="s">
        <v>339</v>
      </c>
      <c r="B307" t="s">
        <v>60</v>
      </c>
      <c r="C307" t="str">
        <f t="shared" si="36"/>
        <v>Manufacturing and operations</v>
      </c>
      <c r="D307" t="s">
        <v>27</v>
      </c>
      <c r="E307" t="str">
        <f t="shared" si="37"/>
        <v>Technova</v>
      </c>
      <c r="F307">
        <v>21</v>
      </c>
      <c r="G307">
        <v>40000</v>
      </c>
      <c r="H307" s="1">
        <v>44102</v>
      </c>
      <c r="I307">
        <v>4</v>
      </c>
      <c r="J307" t="s">
        <v>57</v>
      </c>
      <c r="K307">
        <f t="shared" si="38"/>
        <v>2</v>
      </c>
      <c r="L307">
        <f t="shared" si="39"/>
        <v>5.0000000000000002E-5</v>
      </c>
      <c r="M307" t="b">
        <f t="shared" si="40"/>
        <v>1</v>
      </c>
      <c r="N307" t="b">
        <f t="shared" si="41"/>
        <v>1</v>
      </c>
      <c r="O307" t="s">
        <v>22</v>
      </c>
      <c r="P307">
        <f t="shared" si="42"/>
        <v>0.25</v>
      </c>
      <c r="Q307">
        <f t="shared" si="43"/>
        <v>0.75</v>
      </c>
      <c r="R307">
        <f t="shared" si="44"/>
        <v>0.45000000000000007</v>
      </c>
    </row>
    <row r="308" spans="1:18">
      <c r="A308" t="s">
        <v>340</v>
      </c>
      <c r="B308" t="s">
        <v>60</v>
      </c>
      <c r="C308" t="str">
        <f t="shared" si="36"/>
        <v>Manufacturing and operations</v>
      </c>
      <c r="D308" t="s">
        <v>27</v>
      </c>
      <c r="E308" t="str">
        <f t="shared" si="37"/>
        <v>Technova</v>
      </c>
      <c r="F308">
        <v>7</v>
      </c>
      <c r="G308">
        <v>40000</v>
      </c>
      <c r="H308" s="1">
        <v>45119</v>
      </c>
      <c r="I308">
        <v>4</v>
      </c>
      <c r="J308" t="s">
        <v>57</v>
      </c>
      <c r="K308">
        <f t="shared" si="38"/>
        <v>2</v>
      </c>
      <c r="L308">
        <f t="shared" si="39"/>
        <v>5.0000000000000002E-5</v>
      </c>
      <c r="M308" t="b">
        <f t="shared" si="40"/>
        <v>0</v>
      </c>
      <c r="N308" t="b">
        <f t="shared" si="41"/>
        <v>1</v>
      </c>
      <c r="O308" t="s">
        <v>22</v>
      </c>
      <c r="P308">
        <f t="shared" si="42"/>
        <v>0.25</v>
      </c>
      <c r="Q308">
        <f t="shared" si="43"/>
        <v>0.75</v>
      </c>
      <c r="R308">
        <f t="shared" si="44"/>
        <v>0.45000000000000007</v>
      </c>
    </row>
    <row r="309" spans="1:18">
      <c r="A309" t="s">
        <v>341</v>
      </c>
      <c r="B309" t="s">
        <v>25</v>
      </c>
      <c r="C309" t="str">
        <f t="shared" si="36"/>
        <v>Sales &amp; Marketing</v>
      </c>
      <c r="D309" t="s">
        <v>20</v>
      </c>
      <c r="E309" t="str">
        <f t="shared" si="37"/>
        <v>Dataverse</v>
      </c>
      <c r="F309">
        <v>12</v>
      </c>
      <c r="G309">
        <v>20000</v>
      </c>
      <c r="H309" s="1">
        <v>39547</v>
      </c>
      <c r="I309">
        <v>4</v>
      </c>
      <c r="J309" t="s">
        <v>21</v>
      </c>
      <c r="K309">
        <f t="shared" si="38"/>
        <v>1</v>
      </c>
      <c r="L309">
        <f t="shared" si="39"/>
        <v>5.0000000000000002E-5</v>
      </c>
      <c r="M309" t="b">
        <f t="shared" si="40"/>
        <v>0</v>
      </c>
      <c r="N309" t="b">
        <f t="shared" si="41"/>
        <v>1</v>
      </c>
      <c r="O309" t="s">
        <v>22</v>
      </c>
      <c r="P309">
        <f t="shared" si="42"/>
        <v>0.25</v>
      </c>
      <c r="Q309">
        <f t="shared" si="43"/>
        <v>0.75</v>
      </c>
      <c r="R309">
        <f t="shared" si="44"/>
        <v>0.45000000000000007</v>
      </c>
    </row>
    <row r="310" spans="1:18">
      <c r="A310" t="s">
        <v>342</v>
      </c>
      <c r="B310" t="s">
        <v>67</v>
      </c>
      <c r="C310" t="str">
        <f t="shared" si="36"/>
        <v>Quality Assurance</v>
      </c>
      <c r="D310" t="s">
        <v>20</v>
      </c>
      <c r="E310" t="str">
        <f t="shared" si="37"/>
        <v>Dataverse</v>
      </c>
      <c r="F310">
        <v>7</v>
      </c>
      <c r="G310">
        <v>40000</v>
      </c>
      <c r="H310" s="1">
        <v>42847</v>
      </c>
      <c r="I310">
        <v>4</v>
      </c>
      <c r="J310" t="s">
        <v>57</v>
      </c>
      <c r="K310">
        <f t="shared" si="38"/>
        <v>2</v>
      </c>
      <c r="L310">
        <f t="shared" si="39"/>
        <v>5.0000000000000002E-5</v>
      </c>
      <c r="M310" t="b">
        <f t="shared" si="40"/>
        <v>0</v>
      </c>
      <c r="N310" t="b">
        <f t="shared" si="41"/>
        <v>1</v>
      </c>
      <c r="O310" t="s">
        <v>22</v>
      </c>
      <c r="P310">
        <f t="shared" si="42"/>
        <v>0.25</v>
      </c>
      <c r="Q310">
        <f t="shared" si="43"/>
        <v>0.75</v>
      </c>
      <c r="R310">
        <f t="shared" si="44"/>
        <v>0.45000000000000007</v>
      </c>
    </row>
    <row r="311" spans="1:18">
      <c r="A311" t="s">
        <v>343</v>
      </c>
      <c r="B311" t="s">
        <v>25</v>
      </c>
      <c r="C311" t="str">
        <f t="shared" si="36"/>
        <v>Sales &amp; Marketing</v>
      </c>
      <c r="D311" t="s">
        <v>20</v>
      </c>
      <c r="E311" t="str">
        <f t="shared" si="37"/>
        <v>Dataverse</v>
      </c>
      <c r="F311">
        <v>24</v>
      </c>
      <c r="G311">
        <v>20000</v>
      </c>
      <c r="H311" s="1">
        <v>40542</v>
      </c>
      <c r="I311">
        <v>4</v>
      </c>
      <c r="J311" t="s">
        <v>21</v>
      </c>
      <c r="K311">
        <f t="shared" si="38"/>
        <v>1</v>
      </c>
      <c r="L311">
        <f t="shared" si="39"/>
        <v>5.0000000000000002E-5</v>
      </c>
      <c r="M311" t="b">
        <f t="shared" si="40"/>
        <v>1</v>
      </c>
      <c r="N311" t="b">
        <f t="shared" si="41"/>
        <v>1</v>
      </c>
      <c r="O311" t="s">
        <v>22</v>
      </c>
      <c r="P311">
        <f t="shared" si="42"/>
        <v>0.25</v>
      </c>
      <c r="Q311">
        <f t="shared" si="43"/>
        <v>0.75</v>
      </c>
      <c r="R311">
        <f t="shared" si="44"/>
        <v>0.45000000000000007</v>
      </c>
    </row>
    <row r="312" spans="1:18">
      <c r="A312" t="s">
        <v>344</v>
      </c>
      <c r="B312" t="s">
        <v>67</v>
      </c>
      <c r="C312" t="str">
        <f t="shared" si="36"/>
        <v>Quality Assurance</v>
      </c>
      <c r="D312" t="s">
        <v>27</v>
      </c>
      <c r="E312" t="str">
        <f t="shared" si="37"/>
        <v>Technova</v>
      </c>
      <c r="F312">
        <v>19</v>
      </c>
      <c r="G312">
        <v>40000</v>
      </c>
      <c r="H312" s="1">
        <v>42152</v>
      </c>
      <c r="I312">
        <v>4</v>
      </c>
      <c r="J312" t="s">
        <v>57</v>
      </c>
      <c r="K312">
        <f t="shared" si="38"/>
        <v>2</v>
      </c>
      <c r="L312">
        <f t="shared" si="39"/>
        <v>5.0000000000000002E-5</v>
      </c>
      <c r="M312" t="b">
        <f t="shared" si="40"/>
        <v>1</v>
      </c>
      <c r="N312" t="b">
        <f t="shared" si="41"/>
        <v>1</v>
      </c>
      <c r="O312" t="s">
        <v>22</v>
      </c>
      <c r="P312">
        <f t="shared" si="42"/>
        <v>0.25</v>
      </c>
      <c r="Q312">
        <f t="shared" si="43"/>
        <v>0.75</v>
      </c>
      <c r="R312">
        <f t="shared" si="44"/>
        <v>0.45000000000000007</v>
      </c>
    </row>
    <row r="313" spans="1:18">
      <c r="A313" t="s">
        <v>345</v>
      </c>
      <c r="B313" t="s">
        <v>19</v>
      </c>
      <c r="C313" t="str">
        <f t="shared" si="36"/>
        <v>Research &amp; Department</v>
      </c>
      <c r="D313" t="s">
        <v>27</v>
      </c>
      <c r="E313" t="str">
        <f t="shared" si="37"/>
        <v>Technova</v>
      </c>
      <c r="F313">
        <v>17</v>
      </c>
      <c r="G313">
        <v>12000</v>
      </c>
      <c r="H313" s="1">
        <v>45138</v>
      </c>
      <c r="I313">
        <v>1</v>
      </c>
      <c r="J313" t="s">
        <v>21</v>
      </c>
      <c r="K313">
        <f t="shared" si="38"/>
        <v>1</v>
      </c>
      <c r="L313">
        <f t="shared" si="39"/>
        <v>8.3333333333333331E-5</v>
      </c>
      <c r="M313" t="b">
        <f t="shared" si="40"/>
        <v>1</v>
      </c>
      <c r="N313" t="b">
        <f t="shared" si="41"/>
        <v>1</v>
      </c>
      <c r="O313" t="s">
        <v>22</v>
      </c>
      <c r="P313">
        <f t="shared" si="42"/>
        <v>0.74999999999999989</v>
      </c>
      <c r="Q313">
        <f t="shared" si="43"/>
        <v>0</v>
      </c>
      <c r="R313">
        <f t="shared" si="44"/>
        <v>0.4499999999999999</v>
      </c>
    </row>
    <row r="314" spans="1:18">
      <c r="A314" t="s">
        <v>346</v>
      </c>
      <c r="B314" t="s">
        <v>25</v>
      </c>
      <c r="C314" t="str">
        <f t="shared" si="36"/>
        <v>Sales &amp; Marketing</v>
      </c>
      <c r="D314" t="s">
        <v>27</v>
      </c>
      <c r="E314" t="str">
        <f t="shared" si="37"/>
        <v>Technova</v>
      </c>
      <c r="F314">
        <v>13</v>
      </c>
      <c r="G314">
        <v>12000</v>
      </c>
      <c r="H314" s="1">
        <v>39008</v>
      </c>
      <c r="I314">
        <v>1</v>
      </c>
      <c r="J314" t="s">
        <v>21</v>
      </c>
      <c r="K314">
        <f t="shared" si="38"/>
        <v>1</v>
      </c>
      <c r="L314">
        <f t="shared" si="39"/>
        <v>8.3333333333333331E-5</v>
      </c>
      <c r="M314" t="b">
        <f t="shared" si="40"/>
        <v>0</v>
      </c>
      <c r="N314" t="b">
        <f t="shared" si="41"/>
        <v>1</v>
      </c>
      <c r="O314" t="s">
        <v>22</v>
      </c>
      <c r="P314">
        <f t="shared" si="42"/>
        <v>0.74999999999999989</v>
      </c>
      <c r="Q314">
        <f t="shared" si="43"/>
        <v>0</v>
      </c>
      <c r="R314">
        <f t="shared" si="44"/>
        <v>0.4499999999999999</v>
      </c>
    </row>
    <row r="315" spans="1:18">
      <c r="A315" t="s">
        <v>347</v>
      </c>
      <c r="B315" t="s">
        <v>25</v>
      </c>
      <c r="C315" t="str">
        <f t="shared" si="36"/>
        <v>Sales &amp; Marketing</v>
      </c>
      <c r="D315" t="s">
        <v>27</v>
      </c>
      <c r="E315" t="str">
        <f t="shared" si="37"/>
        <v>Technova</v>
      </c>
      <c r="F315">
        <v>25</v>
      </c>
      <c r="G315">
        <v>12000</v>
      </c>
      <c r="H315" s="1">
        <v>38633</v>
      </c>
      <c r="I315">
        <v>1</v>
      </c>
      <c r="J315" t="s">
        <v>21</v>
      </c>
      <c r="K315">
        <f t="shared" si="38"/>
        <v>1</v>
      </c>
      <c r="L315">
        <f t="shared" si="39"/>
        <v>8.3333333333333331E-5</v>
      </c>
      <c r="M315" t="b">
        <f t="shared" si="40"/>
        <v>1</v>
      </c>
      <c r="N315" t="b">
        <f t="shared" si="41"/>
        <v>1</v>
      </c>
      <c r="O315" t="s">
        <v>22</v>
      </c>
      <c r="P315">
        <f t="shared" si="42"/>
        <v>0.74999999999999989</v>
      </c>
      <c r="Q315">
        <f t="shared" si="43"/>
        <v>0</v>
      </c>
      <c r="R315">
        <f t="shared" si="44"/>
        <v>0.4499999999999999</v>
      </c>
    </row>
    <row r="316" spans="1:18">
      <c r="A316" t="s">
        <v>348</v>
      </c>
      <c r="B316" t="s">
        <v>25</v>
      </c>
      <c r="C316" t="str">
        <f t="shared" si="36"/>
        <v>Sales &amp; Marketing</v>
      </c>
      <c r="D316" t="s">
        <v>20</v>
      </c>
      <c r="E316" t="str">
        <f t="shared" si="37"/>
        <v>Dataverse</v>
      </c>
      <c r="F316">
        <v>8</v>
      </c>
      <c r="G316">
        <v>12000</v>
      </c>
      <c r="H316" s="1">
        <v>45339</v>
      </c>
      <c r="I316">
        <v>1</v>
      </c>
      <c r="J316" t="s">
        <v>21</v>
      </c>
      <c r="K316">
        <f t="shared" si="38"/>
        <v>1</v>
      </c>
      <c r="L316">
        <f t="shared" si="39"/>
        <v>8.3333333333333331E-5</v>
      </c>
      <c r="M316" t="b">
        <f t="shared" si="40"/>
        <v>0</v>
      </c>
      <c r="N316" t="b">
        <f t="shared" si="41"/>
        <v>1</v>
      </c>
      <c r="O316" t="s">
        <v>22</v>
      </c>
      <c r="P316">
        <f t="shared" si="42"/>
        <v>0.74999999999999989</v>
      </c>
      <c r="Q316">
        <f t="shared" si="43"/>
        <v>0</v>
      </c>
      <c r="R316">
        <f t="shared" si="44"/>
        <v>0.4499999999999999</v>
      </c>
    </row>
    <row r="317" spans="1:18">
      <c r="A317" t="s">
        <v>349</v>
      </c>
      <c r="B317" t="s">
        <v>204</v>
      </c>
      <c r="C317" t="str">
        <f t="shared" si="36"/>
        <v>Administrative Services</v>
      </c>
      <c r="D317" t="s">
        <v>20</v>
      </c>
      <c r="E317" t="str">
        <f t="shared" si="37"/>
        <v>Dataverse</v>
      </c>
      <c r="F317">
        <v>11</v>
      </c>
      <c r="G317">
        <v>78000</v>
      </c>
      <c r="H317" s="1">
        <v>39746</v>
      </c>
      <c r="I317">
        <v>5</v>
      </c>
      <c r="J317" t="s">
        <v>174</v>
      </c>
      <c r="K317">
        <f t="shared" si="38"/>
        <v>3</v>
      </c>
      <c r="L317">
        <f t="shared" si="39"/>
        <v>3.8461538461538463E-5</v>
      </c>
      <c r="M317" t="b">
        <f t="shared" si="40"/>
        <v>0</v>
      </c>
      <c r="N317" t="b">
        <f t="shared" si="41"/>
        <v>1</v>
      </c>
      <c r="O317" t="s">
        <v>22</v>
      </c>
      <c r="P317">
        <f t="shared" si="42"/>
        <v>7.6923076923076913E-2</v>
      </c>
      <c r="Q317">
        <f t="shared" si="43"/>
        <v>1</v>
      </c>
      <c r="R317">
        <f t="shared" si="44"/>
        <v>0.44615384615384618</v>
      </c>
    </row>
    <row r="318" spans="1:18">
      <c r="A318" t="s">
        <v>350</v>
      </c>
      <c r="B318" t="s">
        <v>70</v>
      </c>
      <c r="C318" t="str">
        <f t="shared" si="36"/>
        <v>Customer Experience</v>
      </c>
      <c r="D318" t="s">
        <v>20</v>
      </c>
      <c r="E318" t="str">
        <f t="shared" si="37"/>
        <v>Dataverse</v>
      </c>
      <c r="F318">
        <v>21</v>
      </c>
      <c r="G318">
        <v>78000</v>
      </c>
      <c r="H318" s="1">
        <v>42484</v>
      </c>
      <c r="I318">
        <v>5</v>
      </c>
      <c r="J318" t="s">
        <v>174</v>
      </c>
      <c r="K318">
        <f t="shared" si="38"/>
        <v>3</v>
      </c>
      <c r="L318">
        <f t="shared" si="39"/>
        <v>3.8461538461538463E-5</v>
      </c>
      <c r="M318" t="b">
        <f t="shared" si="40"/>
        <v>1</v>
      </c>
      <c r="N318" t="b">
        <f t="shared" si="41"/>
        <v>1</v>
      </c>
      <c r="O318" t="s">
        <v>22</v>
      </c>
      <c r="P318">
        <f t="shared" si="42"/>
        <v>7.6923076923076913E-2</v>
      </c>
      <c r="Q318">
        <f t="shared" si="43"/>
        <v>1</v>
      </c>
      <c r="R318">
        <f t="shared" si="44"/>
        <v>0.44615384615384618</v>
      </c>
    </row>
    <row r="319" spans="1:18">
      <c r="A319" t="s">
        <v>351</v>
      </c>
      <c r="B319" t="s">
        <v>25</v>
      </c>
      <c r="C319" t="str">
        <f t="shared" si="36"/>
        <v>Sales &amp; Marketing</v>
      </c>
      <c r="D319" t="s">
        <v>20</v>
      </c>
      <c r="E319" t="str">
        <f t="shared" si="37"/>
        <v>Dataverse</v>
      </c>
      <c r="F319">
        <v>1</v>
      </c>
      <c r="G319">
        <v>26000</v>
      </c>
      <c r="H319" s="1">
        <v>43767</v>
      </c>
      <c r="I319">
        <v>5</v>
      </c>
      <c r="J319" t="s">
        <v>21</v>
      </c>
      <c r="K319">
        <f t="shared" si="38"/>
        <v>1</v>
      </c>
      <c r="L319">
        <f t="shared" si="39"/>
        <v>3.8461538461538463E-5</v>
      </c>
      <c r="M319" t="b">
        <f t="shared" si="40"/>
        <v>0</v>
      </c>
      <c r="N319" t="b">
        <f t="shared" si="41"/>
        <v>0</v>
      </c>
      <c r="O319" t="s">
        <v>22</v>
      </c>
      <c r="P319">
        <f t="shared" si="42"/>
        <v>7.6923076923076913E-2</v>
      </c>
      <c r="Q319">
        <f t="shared" si="43"/>
        <v>1</v>
      </c>
      <c r="R319">
        <f t="shared" si="44"/>
        <v>0.44615384615384618</v>
      </c>
    </row>
    <row r="320" spans="1:18">
      <c r="A320" t="s">
        <v>352</v>
      </c>
      <c r="B320" t="s">
        <v>25</v>
      </c>
      <c r="C320" t="str">
        <f t="shared" si="36"/>
        <v>Sales &amp; Marketing</v>
      </c>
      <c r="D320" t="s">
        <v>27</v>
      </c>
      <c r="E320" t="str">
        <f t="shared" si="37"/>
        <v>Technova</v>
      </c>
      <c r="F320">
        <v>19</v>
      </c>
      <c r="G320">
        <v>26000</v>
      </c>
      <c r="H320" s="1">
        <v>38298</v>
      </c>
      <c r="I320">
        <v>5</v>
      </c>
      <c r="J320" t="s">
        <v>21</v>
      </c>
      <c r="K320">
        <f t="shared" si="38"/>
        <v>1</v>
      </c>
      <c r="L320">
        <f t="shared" si="39"/>
        <v>3.8461538461538463E-5</v>
      </c>
      <c r="M320" t="b">
        <f t="shared" si="40"/>
        <v>1</v>
      </c>
      <c r="N320" t="b">
        <f t="shared" si="41"/>
        <v>1</v>
      </c>
      <c r="O320" t="s">
        <v>22</v>
      </c>
      <c r="P320">
        <f t="shared" si="42"/>
        <v>7.6923076923076913E-2</v>
      </c>
      <c r="Q320">
        <f t="shared" si="43"/>
        <v>1</v>
      </c>
      <c r="R320">
        <f t="shared" si="44"/>
        <v>0.44615384615384618</v>
      </c>
    </row>
    <row r="321" spans="1:18">
      <c r="A321" t="s">
        <v>353</v>
      </c>
      <c r="B321" t="s">
        <v>70</v>
      </c>
      <c r="C321" t="str">
        <f t="shared" si="36"/>
        <v>Customer Experience</v>
      </c>
      <c r="D321" t="s">
        <v>27</v>
      </c>
      <c r="E321" t="str">
        <f t="shared" si="37"/>
        <v>Technova</v>
      </c>
      <c r="F321">
        <v>18</v>
      </c>
      <c r="G321">
        <v>33000</v>
      </c>
      <c r="H321" s="1">
        <v>42786</v>
      </c>
      <c r="I321">
        <v>3</v>
      </c>
      <c r="J321" t="s">
        <v>57</v>
      </c>
      <c r="K321">
        <f t="shared" si="38"/>
        <v>2</v>
      </c>
      <c r="L321">
        <f t="shared" si="39"/>
        <v>6.0606060606060605E-5</v>
      </c>
      <c r="M321" t="b">
        <f t="shared" si="40"/>
        <v>1</v>
      </c>
      <c r="N321" t="b">
        <f t="shared" si="41"/>
        <v>1</v>
      </c>
      <c r="O321" t="s">
        <v>22</v>
      </c>
      <c r="P321">
        <f t="shared" si="42"/>
        <v>0.40909090909090901</v>
      </c>
      <c r="Q321">
        <f t="shared" si="43"/>
        <v>0.5</v>
      </c>
      <c r="R321">
        <f t="shared" si="44"/>
        <v>0.44545454545454544</v>
      </c>
    </row>
    <row r="322" spans="1:18">
      <c r="A322" t="s">
        <v>354</v>
      </c>
      <c r="B322" t="s">
        <v>102</v>
      </c>
      <c r="C322" t="str">
        <f t="shared" ref="C322:C385" si="45">TRIM(B322)</f>
        <v>Finance</v>
      </c>
      <c r="D322" t="s">
        <v>27</v>
      </c>
      <c r="E322" t="str">
        <f t="shared" ref="E322:E385" si="46">TRIM(D322)</f>
        <v>Technova</v>
      </c>
      <c r="F322">
        <v>7</v>
      </c>
      <c r="G322">
        <v>33000</v>
      </c>
      <c r="H322" s="1">
        <v>39615</v>
      </c>
      <c r="I322">
        <v>3</v>
      </c>
      <c r="J322" t="s">
        <v>57</v>
      </c>
      <c r="K322">
        <f t="shared" ref="K322:K385" si="47">IF(J322="A", 3, IF(J322="B", 2, 1))</f>
        <v>2</v>
      </c>
      <c r="L322">
        <f t="shared" ref="L322:L385" si="48">K322/G322</f>
        <v>6.0606060606060605E-5</v>
      </c>
      <c r="M322" t="b">
        <f t="shared" ref="M322:M385" si="49">IF(F322&gt;15, TRUE, FALSE)</f>
        <v>0</v>
      </c>
      <c r="N322" t="b">
        <f t="shared" ref="N322:N385" si="50">IF(F322&gt;5, TRUE, FALSE)</f>
        <v>1</v>
      </c>
      <c r="O322" t="s">
        <v>22</v>
      </c>
      <c r="P322">
        <f t="shared" ref="P322:P385" si="51">(L322-MIN(L:L))/(MAX(L:L)-MIN(L:L))</f>
        <v>0.40909090909090901</v>
      </c>
      <c r="Q322">
        <f t="shared" ref="Q322:Q385" si="52">(I322-1)/4</f>
        <v>0.5</v>
      </c>
      <c r="R322">
        <f t="shared" ref="R322:R385" si="53">(0.6*P322)+(0.4*Q322)</f>
        <v>0.44545454545454544</v>
      </c>
    </row>
    <row r="323" spans="1:18">
      <c r="A323" t="s">
        <v>355</v>
      </c>
      <c r="B323" t="s">
        <v>102</v>
      </c>
      <c r="C323" t="str">
        <f t="shared" si="45"/>
        <v>Finance</v>
      </c>
      <c r="D323" t="s">
        <v>20</v>
      </c>
      <c r="E323" t="str">
        <f t="shared" si="46"/>
        <v>Dataverse</v>
      </c>
      <c r="F323">
        <v>14</v>
      </c>
      <c r="G323">
        <v>33000</v>
      </c>
      <c r="H323" s="1">
        <v>44596</v>
      </c>
      <c r="I323">
        <v>3</v>
      </c>
      <c r="J323" t="s">
        <v>57</v>
      </c>
      <c r="K323">
        <f t="shared" si="47"/>
        <v>2</v>
      </c>
      <c r="L323">
        <f t="shared" si="48"/>
        <v>6.0606060606060605E-5</v>
      </c>
      <c r="M323" t="b">
        <f t="shared" si="49"/>
        <v>0</v>
      </c>
      <c r="N323" t="b">
        <f t="shared" si="50"/>
        <v>1</v>
      </c>
      <c r="O323" t="s">
        <v>22</v>
      </c>
      <c r="P323">
        <f t="shared" si="51"/>
        <v>0.40909090909090901</v>
      </c>
      <c r="Q323">
        <f t="shared" si="52"/>
        <v>0.5</v>
      </c>
      <c r="R323">
        <f t="shared" si="53"/>
        <v>0.44545454545454544</v>
      </c>
    </row>
    <row r="324" spans="1:18">
      <c r="A324" t="s">
        <v>356</v>
      </c>
      <c r="B324" t="s">
        <v>74</v>
      </c>
      <c r="C324" t="str">
        <f t="shared" si="45"/>
        <v>Human Resources</v>
      </c>
      <c r="D324" t="s">
        <v>27</v>
      </c>
      <c r="E324" t="str">
        <f t="shared" si="46"/>
        <v>Technova</v>
      </c>
      <c r="F324">
        <v>13</v>
      </c>
      <c r="G324">
        <v>33000</v>
      </c>
      <c r="H324" s="1">
        <v>43429</v>
      </c>
      <c r="I324">
        <v>3</v>
      </c>
      <c r="J324" t="s">
        <v>57</v>
      </c>
      <c r="K324">
        <f t="shared" si="47"/>
        <v>2</v>
      </c>
      <c r="L324">
        <f t="shared" si="48"/>
        <v>6.0606060606060605E-5</v>
      </c>
      <c r="M324" t="b">
        <f t="shared" si="49"/>
        <v>0</v>
      </c>
      <c r="N324" t="b">
        <f t="shared" si="50"/>
        <v>1</v>
      </c>
      <c r="O324" t="s">
        <v>22</v>
      </c>
      <c r="P324">
        <f t="shared" si="51"/>
        <v>0.40909090909090901</v>
      </c>
      <c r="Q324">
        <f t="shared" si="52"/>
        <v>0.5</v>
      </c>
      <c r="R324">
        <f t="shared" si="53"/>
        <v>0.44545454545454544</v>
      </c>
    </row>
    <row r="325" spans="1:18">
      <c r="A325" t="s">
        <v>357</v>
      </c>
      <c r="B325" t="s">
        <v>19</v>
      </c>
      <c r="C325" t="str">
        <f t="shared" si="45"/>
        <v>Research &amp; Department</v>
      </c>
      <c r="D325" t="s">
        <v>20</v>
      </c>
      <c r="E325" t="str">
        <f t="shared" si="46"/>
        <v>Dataverse</v>
      </c>
      <c r="F325">
        <v>11</v>
      </c>
      <c r="G325">
        <v>14000</v>
      </c>
      <c r="H325" s="1">
        <v>41199</v>
      </c>
      <c r="I325">
        <v>2</v>
      </c>
      <c r="J325" t="s">
        <v>21</v>
      </c>
      <c r="K325">
        <f t="shared" si="47"/>
        <v>1</v>
      </c>
      <c r="L325">
        <f t="shared" si="48"/>
        <v>7.1428571428571434E-5</v>
      </c>
      <c r="M325" t="b">
        <f t="shared" si="49"/>
        <v>0</v>
      </c>
      <c r="N325" t="b">
        <f t="shared" si="50"/>
        <v>1</v>
      </c>
      <c r="O325" t="s">
        <v>22</v>
      </c>
      <c r="P325">
        <f t="shared" si="51"/>
        <v>0.57142857142857151</v>
      </c>
      <c r="Q325">
        <f t="shared" si="52"/>
        <v>0.25</v>
      </c>
      <c r="R325">
        <f t="shared" si="53"/>
        <v>0.44285714285714295</v>
      </c>
    </row>
    <row r="326" spans="1:18">
      <c r="A326" t="s">
        <v>358</v>
      </c>
      <c r="B326" t="s">
        <v>19</v>
      </c>
      <c r="C326" t="str">
        <f t="shared" si="45"/>
        <v>Research &amp; Department</v>
      </c>
      <c r="D326" t="s">
        <v>20</v>
      </c>
      <c r="E326" t="str">
        <f t="shared" si="46"/>
        <v>Dataverse</v>
      </c>
      <c r="F326">
        <v>10</v>
      </c>
      <c r="G326">
        <v>14000</v>
      </c>
      <c r="H326" s="1">
        <v>45285</v>
      </c>
      <c r="I326">
        <v>2</v>
      </c>
      <c r="J326" t="s">
        <v>21</v>
      </c>
      <c r="K326">
        <f t="shared" si="47"/>
        <v>1</v>
      </c>
      <c r="L326">
        <f t="shared" si="48"/>
        <v>7.1428571428571434E-5</v>
      </c>
      <c r="M326" t="b">
        <f t="shared" si="49"/>
        <v>0</v>
      </c>
      <c r="N326" t="b">
        <f t="shared" si="50"/>
        <v>1</v>
      </c>
      <c r="O326" t="s">
        <v>22</v>
      </c>
      <c r="P326">
        <f t="shared" si="51"/>
        <v>0.57142857142857151</v>
      </c>
      <c r="Q326">
        <f t="shared" si="52"/>
        <v>0.25</v>
      </c>
      <c r="R326">
        <f t="shared" si="53"/>
        <v>0.44285714285714295</v>
      </c>
    </row>
    <row r="327" spans="1:18">
      <c r="A327" t="s">
        <v>359</v>
      </c>
      <c r="B327" t="s">
        <v>204</v>
      </c>
      <c r="C327" t="str">
        <f t="shared" si="45"/>
        <v>Administrative Services</v>
      </c>
      <c r="D327" t="s">
        <v>27</v>
      </c>
      <c r="E327" t="str">
        <f t="shared" si="46"/>
        <v>Technova</v>
      </c>
      <c r="F327">
        <v>9</v>
      </c>
      <c r="G327">
        <v>61000</v>
      </c>
      <c r="H327" s="1">
        <v>38574</v>
      </c>
      <c r="I327">
        <v>4</v>
      </c>
      <c r="J327" t="s">
        <v>174</v>
      </c>
      <c r="K327">
        <f t="shared" si="47"/>
        <v>3</v>
      </c>
      <c r="L327">
        <f t="shared" si="48"/>
        <v>4.9180327868852456E-5</v>
      </c>
      <c r="M327" t="b">
        <f t="shared" si="49"/>
        <v>0</v>
      </c>
      <c r="N327" t="b">
        <f t="shared" si="50"/>
        <v>1</v>
      </c>
      <c r="O327" t="s">
        <v>22</v>
      </c>
      <c r="P327">
        <f t="shared" si="51"/>
        <v>0.23770491803278682</v>
      </c>
      <c r="Q327">
        <f t="shared" si="52"/>
        <v>0.75</v>
      </c>
      <c r="R327">
        <f t="shared" si="53"/>
        <v>0.44262295081967212</v>
      </c>
    </row>
    <row r="328" spans="1:18">
      <c r="A328" t="s">
        <v>360</v>
      </c>
      <c r="B328" t="s">
        <v>204</v>
      </c>
      <c r="C328" t="str">
        <f t="shared" si="45"/>
        <v>Administrative Services</v>
      </c>
      <c r="D328" t="s">
        <v>27</v>
      </c>
      <c r="E328" t="str">
        <f t="shared" si="46"/>
        <v>Technova</v>
      </c>
      <c r="F328">
        <v>14</v>
      </c>
      <c r="G328">
        <v>61000</v>
      </c>
      <c r="H328" s="1">
        <v>41754</v>
      </c>
      <c r="I328">
        <v>4</v>
      </c>
      <c r="J328" t="s">
        <v>174</v>
      </c>
      <c r="K328">
        <f t="shared" si="47"/>
        <v>3</v>
      </c>
      <c r="L328">
        <f t="shared" si="48"/>
        <v>4.9180327868852456E-5</v>
      </c>
      <c r="M328" t="b">
        <f t="shared" si="49"/>
        <v>0</v>
      </c>
      <c r="N328" t="b">
        <f t="shared" si="50"/>
        <v>1</v>
      </c>
      <c r="O328" t="s">
        <v>22</v>
      </c>
      <c r="P328">
        <f t="shared" si="51"/>
        <v>0.23770491803278682</v>
      </c>
      <c r="Q328">
        <f t="shared" si="52"/>
        <v>0.75</v>
      </c>
      <c r="R328">
        <f t="shared" si="53"/>
        <v>0.44262295081967212</v>
      </c>
    </row>
    <row r="329" spans="1:18">
      <c r="A329" t="s">
        <v>361</v>
      </c>
      <c r="B329" t="s">
        <v>70</v>
      </c>
      <c r="C329" t="str">
        <f t="shared" si="45"/>
        <v>Customer Experience</v>
      </c>
      <c r="D329" t="s">
        <v>20</v>
      </c>
      <c r="E329" t="str">
        <f t="shared" si="46"/>
        <v>Dataverse</v>
      </c>
      <c r="F329">
        <v>11</v>
      </c>
      <c r="G329">
        <v>61000</v>
      </c>
      <c r="H329" s="1">
        <v>39920</v>
      </c>
      <c r="I329">
        <v>4</v>
      </c>
      <c r="J329" t="s">
        <v>174</v>
      </c>
      <c r="K329">
        <f t="shared" si="47"/>
        <v>3</v>
      </c>
      <c r="L329">
        <f t="shared" si="48"/>
        <v>4.9180327868852456E-5</v>
      </c>
      <c r="M329" t="b">
        <f t="shared" si="49"/>
        <v>0</v>
      </c>
      <c r="N329" t="b">
        <f t="shared" si="50"/>
        <v>1</v>
      </c>
      <c r="O329" t="s">
        <v>22</v>
      </c>
      <c r="P329">
        <f t="shared" si="51"/>
        <v>0.23770491803278682</v>
      </c>
      <c r="Q329">
        <f t="shared" si="52"/>
        <v>0.75</v>
      </c>
      <c r="R329">
        <f t="shared" si="53"/>
        <v>0.44262295081967212</v>
      </c>
    </row>
    <row r="330" spans="1:18">
      <c r="A330" t="s">
        <v>362</v>
      </c>
      <c r="B330" t="s">
        <v>70</v>
      </c>
      <c r="C330" t="str">
        <f t="shared" si="45"/>
        <v>Customer Experience</v>
      </c>
      <c r="D330" t="s">
        <v>27</v>
      </c>
      <c r="E330" t="str">
        <f t="shared" si="46"/>
        <v>Technova</v>
      </c>
      <c r="F330">
        <v>1</v>
      </c>
      <c r="G330">
        <v>61000</v>
      </c>
      <c r="H330" s="1">
        <v>40339</v>
      </c>
      <c r="I330">
        <v>4</v>
      </c>
      <c r="J330" t="s">
        <v>174</v>
      </c>
      <c r="K330">
        <f t="shared" si="47"/>
        <v>3</v>
      </c>
      <c r="L330">
        <f t="shared" si="48"/>
        <v>4.9180327868852456E-5</v>
      </c>
      <c r="M330" t="b">
        <f t="shared" si="49"/>
        <v>0</v>
      </c>
      <c r="N330" t="b">
        <f t="shared" si="50"/>
        <v>0</v>
      </c>
      <c r="O330" t="s">
        <v>22</v>
      </c>
      <c r="P330">
        <f t="shared" si="51"/>
        <v>0.23770491803278682</v>
      </c>
      <c r="Q330">
        <f t="shared" si="52"/>
        <v>0.75</v>
      </c>
      <c r="R330">
        <f t="shared" si="53"/>
        <v>0.44262295081967212</v>
      </c>
    </row>
    <row r="331" spans="1:18">
      <c r="A331" t="s">
        <v>363</v>
      </c>
      <c r="B331" t="s">
        <v>224</v>
      </c>
      <c r="C331" t="str">
        <f t="shared" si="45"/>
        <v>Business Strategy</v>
      </c>
      <c r="D331" t="s">
        <v>27</v>
      </c>
      <c r="E331" t="str">
        <f t="shared" si="46"/>
        <v>Technova</v>
      </c>
      <c r="F331">
        <v>19</v>
      </c>
      <c r="G331">
        <v>79000</v>
      </c>
      <c r="H331" s="1">
        <v>42186</v>
      </c>
      <c r="I331">
        <v>5</v>
      </c>
      <c r="J331" t="s">
        <v>174</v>
      </c>
      <c r="K331">
        <f t="shared" si="47"/>
        <v>3</v>
      </c>
      <c r="L331">
        <f t="shared" si="48"/>
        <v>3.79746835443038E-5</v>
      </c>
      <c r="M331" t="b">
        <f t="shared" si="49"/>
        <v>1</v>
      </c>
      <c r="N331" t="b">
        <f t="shared" si="50"/>
        <v>1</v>
      </c>
      <c r="O331" t="s">
        <v>22</v>
      </c>
      <c r="P331">
        <f t="shared" si="51"/>
        <v>6.9620253164556972E-2</v>
      </c>
      <c r="Q331">
        <f t="shared" si="52"/>
        <v>1</v>
      </c>
      <c r="R331">
        <f t="shared" si="53"/>
        <v>0.4417721518987342</v>
      </c>
    </row>
    <row r="332" spans="1:18">
      <c r="A332" t="s">
        <v>364</v>
      </c>
      <c r="B332" t="s">
        <v>70</v>
      </c>
      <c r="C332" t="str">
        <f t="shared" si="45"/>
        <v>Customer Experience</v>
      </c>
      <c r="D332" t="s">
        <v>27</v>
      </c>
      <c r="E332" t="str">
        <f t="shared" si="46"/>
        <v>Technova</v>
      </c>
      <c r="F332">
        <v>21</v>
      </c>
      <c r="G332">
        <v>79000</v>
      </c>
      <c r="H332" s="1">
        <v>43220</v>
      </c>
      <c r="I332">
        <v>5</v>
      </c>
      <c r="J332" t="s">
        <v>174</v>
      </c>
      <c r="K332">
        <f t="shared" si="47"/>
        <v>3</v>
      </c>
      <c r="L332">
        <f t="shared" si="48"/>
        <v>3.79746835443038E-5</v>
      </c>
      <c r="M332" t="b">
        <f t="shared" si="49"/>
        <v>1</v>
      </c>
      <c r="N332" t="b">
        <f t="shared" si="50"/>
        <v>1</v>
      </c>
      <c r="O332" t="s">
        <v>22</v>
      </c>
      <c r="P332">
        <f t="shared" si="51"/>
        <v>6.9620253164556972E-2</v>
      </c>
      <c r="Q332">
        <f t="shared" si="52"/>
        <v>1</v>
      </c>
      <c r="R332">
        <f t="shared" si="53"/>
        <v>0.4417721518987342</v>
      </c>
    </row>
    <row r="333" spans="1:18">
      <c r="A333" t="s">
        <v>365</v>
      </c>
      <c r="B333" t="s">
        <v>102</v>
      </c>
      <c r="C333" t="str">
        <f t="shared" si="45"/>
        <v>Finance</v>
      </c>
      <c r="D333" t="s">
        <v>20</v>
      </c>
      <c r="E333" t="str">
        <f t="shared" si="46"/>
        <v>Dataverse</v>
      </c>
      <c r="F333">
        <v>4</v>
      </c>
      <c r="G333">
        <v>41000</v>
      </c>
      <c r="H333" s="1">
        <v>41563</v>
      </c>
      <c r="I333">
        <v>4</v>
      </c>
      <c r="J333" t="s">
        <v>57</v>
      </c>
      <c r="K333">
        <f t="shared" si="47"/>
        <v>2</v>
      </c>
      <c r="L333">
        <f t="shared" si="48"/>
        <v>4.8780487804878051E-5</v>
      </c>
      <c r="M333" t="b">
        <f t="shared" si="49"/>
        <v>0</v>
      </c>
      <c r="N333" t="b">
        <f t="shared" si="50"/>
        <v>0</v>
      </c>
      <c r="O333" t="s">
        <v>22</v>
      </c>
      <c r="P333">
        <f t="shared" si="51"/>
        <v>0.23170731707317074</v>
      </c>
      <c r="Q333">
        <f t="shared" si="52"/>
        <v>0.75</v>
      </c>
      <c r="R333">
        <f t="shared" si="53"/>
        <v>0.4390243902439025</v>
      </c>
    </row>
    <row r="334" spans="1:18">
      <c r="A334" t="s">
        <v>366</v>
      </c>
      <c r="B334" t="s">
        <v>74</v>
      </c>
      <c r="C334" t="str">
        <f t="shared" si="45"/>
        <v>Human Resources</v>
      </c>
      <c r="D334" t="s">
        <v>27</v>
      </c>
      <c r="E334" t="str">
        <f t="shared" si="46"/>
        <v>Technova</v>
      </c>
      <c r="F334">
        <v>11</v>
      </c>
      <c r="G334">
        <v>41000</v>
      </c>
      <c r="H334" s="1">
        <v>40045</v>
      </c>
      <c r="I334">
        <v>4</v>
      </c>
      <c r="J334" t="s">
        <v>57</v>
      </c>
      <c r="K334">
        <f t="shared" si="47"/>
        <v>2</v>
      </c>
      <c r="L334">
        <f t="shared" si="48"/>
        <v>4.8780487804878051E-5</v>
      </c>
      <c r="M334" t="b">
        <f t="shared" si="49"/>
        <v>0</v>
      </c>
      <c r="N334" t="b">
        <f t="shared" si="50"/>
        <v>1</v>
      </c>
      <c r="O334" t="s">
        <v>22</v>
      </c>
      <c r="P334">
        <f t="shared" si="51"/>
        <v>0.23170731707317074</v>
      </c>
      <c r="Q334">
        <f t="shared" si="52"/>
        <v>0.75</v>
      </c>
      <c r="R334">
        <f t="shared" si="53"/>
        <v>0.4390243902439025</v>
      </c>
    </row>
    <row r="335" spans="1:18">
      <c r="A335" t="s">
        <v>367</v>
      </c>
      <c r="B335" t="s">
        <v>56</v>
      </c>
      <c r="C335" t="str">
        <f t="shared" si="45"/>
        <v>IT &amp; Systems</v>
      </c>
      <c r="D335" t="s">
        <v>20</v>
      </c>
      <c r="E335" t="str">
        <f t="shared" si="46"/>
        <v>Dataverse</v>
      </c>
      <c r="F335">
        <v>19</v>
      </c>
      <c r="G335">
        <v>41000</v>
      </c>
      <c r="H335" s="1">
        <v>38810</v>
      </c>
      <c r="I335">
        <v>4</v>
      </c>
      <c r="J335" t="s">
        <v>57</v>
      </c>
      <c r="K335">
        <f t="shared" si="47"/>
        <v>2</v>
      </c>
      <c r="L335">
        <f t="shared" si="48"/>
        <v>4.8780487804878051E-5</v>
      </c>
      <c r="M335" t="b">
        <f t="shared" si="49"/>
        <v>1</v>
      </c>
      <c r="N335" t="b">
        <f t="shared" si="50"/>
        <v>1</v>
      </c>
      <c r="O335" t="s">
        <v>22</v>
      </c>
      <c r="P335">
        <f t="shared" si="51"/>
        <v>0.23170731707317074</v>
      </c>
      <c r="Q335">
        <f t="shared" si="52"/>
        <v>0.75</v>
      </c>
      <c r="R335">
        <f t="shared" si="53"/>
        <v>0.4390243902439025</v>
      </c>
    </row>
    <row r="336" spans="1:18">
      <c r="A336" t="s">
        <v>368</v>
      </c>
      <c r="B336" t="s">
        <v>60</v>
      </c>
      <c r="C336" t="str">
        <f t="shared" si="45"/>
        <v>Manufacturing and operations</v>
      </c>
      <c r="D336" t="s">
        <v>27</v>
      </c>
      <c r="E336" t="str">
        <f t="shared" si="46"/>
        <v>Technova</v>
      </c>
      <c r="F336">
        <v>8</v>
      </c>
      <c r="G336">
        <v>41000</v>
      </c>
      <c r="H336" s="1">
        <v>39288</v>
      </c>
      <c r="I336">
        <v>4</v>
      </c>
      <c r="J336" t="s">
        <v>57</v>
      </c>
      <c r="K336">
        <f t="shared" si="47"/>
        <v>2</v>
      </c>
      <c r="L336">
        <f t="shared" si="48"/>
        <v>4.8780487804878051E-5</v>
      </c>
      <c r="M336" t="b">
        <f t="shared" si="49"/>
        <v>0</v>
      </c>
      <c r="N336" t="b">
        <f t="shared" si="50"/>
        <v>1</v>
      </c>
      <c r="O336" t="s">
        <v>22</v>
      </c>
      <c r="P336">
        <f t="shared" si="51"/>
        <v>0.23170731707317074</v>
      </c>
      <c r="Q336">
        <f t="shared" si="52"/>
        <v>0.75</v>
      </c>
      <c r="R336">
        <f t="shared" si="53"/>
        <v>0.4390243902439025</v>
      </c>
    </row>
    <row r="337" spans="1:18">
      <c r="A337" t="s">
        <v>369</v>
      </c>
      <c r="B337" t="s">
        <v>67</v>
      </c>
      <c r="C337" t="str">
        <f t="shared" si="45"/>
        <v>Quality Assurance</v>
      </c>
      <c r="D337" t="s">
        <v>20</v>
      </c>
      <c r="E337" t="str">
        <f t="shared" si="46"/>
        <v>Dataverse</v>
      </c>
      <c r="F337">
        <v>24</v>
      </c>
      <c r="G337">
        <v>41000</v>
      </c>
      <c r="H337" s="1">
        <v>43053</v>
      </c>
      <c r="I337">
        <v>4</v>
      </c>
      <c r="J337" t="s">
        <v>57</v>
      </c>
      <c r="K337">
        <f t="shared" si="47"/>
        <v>2</v>
      </c>
      <c r="L337">
        <f t="shared" si="48"/>
        <v>4.8780487804878051E-5</v>
      </c>
      <c r="M337" t="b">
        <f t="shared" si="49"/>
        <v>1</v>
      </c>
      <c r="N337" t="b">
        <f t="shared" si="50"/>
        <v>1</v>
      </c>
      <c r="O337" t="s">
        <v>22</v>
      </c>
      <c r="P337">
        <f t="shared" si="51"/>
        <v>0.23170731707317074</v>
      </c>
      <c r="Q337">
        <f t="shared" si="52"/>
        <v>0.75</v>
      </c>
      <c r="R337">
        <f t="shared" si="53"/>
        <v>0.4390243902439025</v>
      </c>
    </row>
    <row r="338" spans="1:18">
      <c r="A338" t="s">
        <v>370</v>
      </c>
      <c r="B338" t="s">
        <v>70</v>
      </c>
      <c r="C338" t="str">
        <f t="shared" si="45"/>
        <v>Customer Experience</v>
      </c>
      <c r="D338" t="s">
        <v>20</v>
      </c>
      <c r="E338" t="str">
        <f t="shared" si="46"/>
        <v>Dataverse</v>
      </c>
      <c r="F338">
        <v>10</v>
      </c>
      <c r="G338">
        <v>80000</v>
      </c>
      <c r="H338" s="1">
        <v>39721</v>
      </c>
      <c r="I338">
        <v>5</v>
      </c>
      <c r="J338" t="s">
        <v>174</v>
      </c>
      <c r="K338">
        <f t="shared" si="47"/>
        <v>3</v>
      </c>
      <c r="L338">
        <f t="shared" si="48"/>
        <v>3.7499999999999997E-5</v>
      </c>
      <c r="M338" t="b">
        <f t="shared" si="49"/>
        <v>0</v>
      </c>
      <c r="N338" t="b">
        <f t="shared" si="50"/>
        <v>1</v>
      </c>
      <c r="O338" t="s">
        <v>22</v>
      </c>
      <c r="P338">
        <f t="shared" si="51"/>
        <v>6.2499999999999924E-2</v>
      </c>
      <c r="Q338">
        <f t="shared" si="52"/>
        <v>1</v>
      </c>
      <c r="R338">
        <f t="shared" si="53"/>
        <v>0.4375</v>
      </c>
    </row>
    <row r="339" spans="1:18">
      <c r="A339" t="s">
        <v>371</v>
      </c>
      <c r="B339" t="s">
        <v>70</v>
      </c>
      <c r="C339" t="str">
        <f t="shared" si="45"/>
        <v>Customer Experience</v>
      </c>
      <c r="D339" t="s">
        <v>27</v>
      </c>
      <c r="E339" t="str">
        <f t="shared" si="46"/>
        <v>Technova</v>
      </c>
      <c r="F339">
        <v>25</v>
      </c>
      <c r="G339">
        <v>80000</v>
      </c>
      <c r="H339" s="1">
        <v>43974</v>
      </c>
      <c r="I339">
        <v>5</v>
      </c>
      <c r="J339" t="s">
        <v>174</v>
      </c>
      <c r="K339">
        <f t="shared" si="47"/>
        <v>3</v>
      </c>
      <c r="L339">
        <f t="shared" si="48"/>
        <v>3.7499999999999997E-5</v>
      </c>
      <c r="M339" t="b">
        <f t="shared" si="49"/>
        <v>1</v>
      </c>
      <c r="N339" t="b">
        <f t="shared" si="50"/>
        <v>1</v>
      </c>
      <c r="O339" t="s">
        <v>22</v>
      </c>
      <c r="P339">
        <f t="shared" si="51"/>
        <v>6.2499999999999924E-2</v>
      </c>
      <c r="Q339">
        <f t="shared" si="52"/>
        <v>1</v>
      </c>
      <c r="R339">
        <f t="shared" si="53"/>
        <v>0.4375</v>
      </c>
    </row>
    <row r="340" spans="1:18">
      <c r="A340" t="s">
        <v>372</v>
      </c>
      <c r="B340" t="s">
        <v>70</v>
      </c>
      <c r="C340" t="str">
        <f t="shared" si="45"/>
        <v>Customer Experience</v>
      </c>
      <c r="D340" t="s">
        <v>20</v>
      </c>
      <c r="E340" t="str">
        <f t="shared" si="46"/>
        <v>Dataverse</v>
      </c>
      <c r="F340">
        <v>11</v>
      </c>
      <c r="G340">
        <v>62000</v>
      </c>
      <c r="H340" s="1">
        <v>44073</v>
      </c>
      <c r="I340">
        <v>4</v>
      </c>
      <c r="J340" t="s">
        <v>174</v>
      </c>
      <c r="K340">
        <f t="shared" si="47"/>
        <v>3</v>
      </c>
      <c r="L340">
        <f t="shared" si="48"/>
        <v>4.8387096774193547E-5</v>
      </c>
      <c r="M340" t="b">
        <f t="shared" si="49"/>
        <v>0</v>
      </c>
      <c r="N340" t="b">
        <f t="shared" si="50"/>
        <v>1</v>
      </c>
      <c r="O340" t="s">
        <v>22</v>
      </c>
      <c r="P340">
        <f t="shared" si="51"/>
        <v>0.22580645161290316</v>
      </c>
      <c r="Q340">
        <f t="shared" si="52"/>
        <v>0.75</v>
      </c>
      <c r="R340">
        <f t="shared" si="53"/>
        <v>0.43548387096774194</v>
      </c>
    </row>
    <row r="341" spans="1:18">
      <c r="A341" t="s">
        <v>373</v>
      </c>
      <c r="B341" t="s">
        <v>70</v>
      </c>
      <c r="C341" t="str">
        <f t="shared" si="45"/>
        <v>Customer Experience</v>
      </c>
      <c r="D341" t="s">
        <v>20</v>
      </c>
      <c r="E341" t="str">
        <f t="shared" si="46"/>
        <v>Dataverse</v>
      </c>
      <c r="F341">
        <v>2</v>
      </c>
      <c r="G341">
        <v>62000</v>
      </c>
      <c r="H341" s="1">
        <v>39275</v>
      </c>
      <c r="I341">
        <v>4</v>
      </c>
      <c r="J341" t="s">
        <v>174</v>
      </c>
      <c r="K341">
        <f t="shared" si="47"/>
        <v>3</v>
      </c>
      <c r="L341">
        <f t="shared" si="48"/>
        <v>4.8387096774193547E-5</v>
      </c>
      <c r="M341" t="b">
        <f t="shared" si="49"/>
        <v>0</v>
      </c>
      <c r="N341" t="b">
        <f t="shared" si="50"/>
        <v>0</v>
      </c>
      <c r="O341" t="s">
        <v>22</v>
      </c>
      <c r="P341">
        <f t="shared" si="51"/>
        <v>0.22580645161290316</v>
      </c>
      <c r="Q341">
        <f t="shared" si="52"/>
        <v>0.75</v>
      </c>
      <c r="R341">
        <f t="shared" si="53"/>
        <v>0.43548387096774194</v>
      </c>
    </row>
    <row r="342" spans="1:18">
      <c r="A342" t="s">
        <v>374</v>
      </c>
      <c r="B342" t="s">
        <v>19</v>
      </c>
      <c r="C342" t="str">
        <f t="shared" si="45"/>
        <v>Research &amp; Department</v>
      </c>
      <c r="D342" t="s">
        <v>27</v>
      </c>
      <c r="E342" t="str">
        <f t="shared" si="46"/>
        <v>Technova</v>
      </c>
      <c r="F342">
        <v>7</v>
      </c>
      <c r="G342">
        <v>27000</v>
      </c>
      <c r="H342" s="1">
        <v>39567</v>
      </c>
      <c r="I342">
        <v>5</v>
      </c>
      <c r="J342" t="s">
        <v>21</v>
      </c>
      <c r="K342">
        <f t="shared" si="47"/>
        <v>1</v>
      </c>
      <c r="L342">
        <f t="shared" si="48"/>
        <v>3.7037037037037037E-5</v>
      </c>
      <c r="M342" t="b">
        <f t="shared" si="49"/>
        <v>0</v>
      </c>
      <c r="N342" t="b">
        <f t="shared" si="50"/>
        <v>1</v>
      </c>
      <c r="O342" t="s">
        <v>22</v>
      </c>
      <c r="P342">
        <f t="shared" si="51"/>
        <v>5.5555555555555525E-2</v>
      </c>
      <c r="Q342">
        <f t="shared" si="52"/>
        <v>1</v>
      </c>
      <c r="R342">
        <f t="shared" si="53"/>
        <v>0.43333333333333335</v>
      </c>
    </row>
    <row r="343" spans="1:18">
      <c r="A343" t="s">
        <v>375</v>
      </c>
      <c r="B343" t="s">
        <v>19</v>
      </c>
      <c r="C343" t="str">
        <f t="shared" si="45"/>
        <v>Research &amp; Department</v>
      </c>
      <c r="D343" t="s">
        <v>27</v>
      </c>
      <c r="E343" t="str">
        <f t="shared" si="46"/>
        <v>Technova</v>
      </c>
      <c r="F343">
        <v>11</v>
      </c>
      <c r="G343">
        <v>27000</v>
      </c>
      <c r="H343" s="1">
        <v>38232</v>
      </c>
      <c r="I343">
        <v>5</v>
      </c>
      <c r="J343" t="s">
        <v>21</v>
      </c>
      <c r="K343">
        <f t="shared" si="47"/>
        <v>1</v>
      </c>
      <c r="L343">
        <f t="shared" si="48"/>
        <v>3.7037037037037037E-5</v>
      </c>
      <c r="M343" t="b">
        <f t="shared" si="49"/>
        <v>0</v>
      </c>
      <c r="N343" t="b">
        <f t="shared" si="50"/>
        <v>1</v>
      </c>
      <c r="O343" t="s">
        <v>22</v>
      </c>
      <c r="P343">
        <f t="shared" si="51"/>
        <v>5.5555555555555525E-2</v>
      </c>
      <c r="Q343">
        <f t="shared" si="52"/>
        <v>1</v>
      </c>
      <c r="R343">
        <f t="shared" si="53"/>
        <v>0.43333333333333335</v>
      </c>
    </row>
    <row r="344" spans="1:18">
      <c r="A344" t="s">
        <v>376</v>
      </c>
      <c r="B344" t="s">
        <v>19</v>
      </c>
      <c r="C344" t="str">
        <f t="shared" si="45"/>
        <v>Research &amp; Department</v>
      </c>
      <c r="D344" t="s">
        <v>27</v>
      </c>
      <c r="E344" t="str">
        <f t="shared" si="46"/>
        <v>Technova</v>
      </c>
      <c r="F344">
        <v>1</v>
      </c>
      <c r="G344">
        <v>27000</v>
      </c>
      <c r="H344" s="1">
        <v>42136</v>
      </c>
      <c r="I344">
        <v>5</v>
      </c>
      <c r="J344" t="s">
        <v>21</v>
      </c>
      <c r="K344">
        <f t="shared" si="47"/>
        <v>1</v>
      </c>
      <c r="L344">
        <f t="shared" si="48"/>
        <v>3.7037037037037037E-5</v>
      </c>
      <c r="M344" t="b">
        <f t="shared" si="49"/>
        <v>0</v>
      </c>
      <c r="N344" t="b">
        <f t="shared" si="50"/>
        <v>0</v>
      </c>
      <c r="O344" t="s">
        <v>22</v>
      </c>
      <c r="P344">
        <f t="shared" si="51"/>
        <v>5.5555555555555525E-2</v>
      </c>
      <c r="Q344">
        <f t="shared" si="52"/>
        <v>1</v>
      </c>
      <c r="R344">
        <f t="shared" si="53"/>
        <v>0.43333333333333335</v>
      </c>
    </row>
    <row r="345" spans="1:18">
      <c r="A345" t="s">
        <v>377</v>
      </c>
      <c r="B345" t="s">
        <v>224</v>
      </c>
      <c r="C345" t="str">
        <f t="shared" si="45"/>
        <v>Business Strategy</v>
      </c>
      <c r="D345" t="s">
        <v>20</v>
      </c>
      <c r="E345" t="str">
        <f t="shared" si="46"/>
        <v>Dataverse</v>
      </c>
      <c r="F345">
        <v>5</v>
      </c>
      <c r="G345">
        <v>81000</v>
      </c>
      <c r="H345" s="1">
        <v>40808</v>
      </c>
      <c r="I345">
        <v>5</v>
      </c>
      <c r="J345" t="s">
        <v>174</v>
      </c>
      <c r="K345">
        <f t="shared" si="47"/>
        <v>3</v>
      </c>
      <c r="L345">
        <f t="shared" si="48"/>
        <v>3.7037037037037037E-5</v>
      </c>
      <c r="M345" t="b">
        <f t="shared" si="49"/>
        <v>0</v>
      </c>
      <c r="N345" t="b">
        <f t="shared" si="50"/>
        <v>0</v>
      </c>
      <c r="O345" t="s">
        <v>22</v>
      </c>
      <c r="P345">
        <f t="shared" si="51"/>
        <v>5.5555555555555525E-2</v>
      </c>
      <c r="Q345">
        <f t="shared" si="52"/>
        <v>1</v>
      </c>
      <c r="R345">
        <f t="shared" si="53"/>
        <v>0.43333333333333335</v>
      </c>
    </row>
    <row r="346" spans="1:18">
      <c r="A346" t="s">
        <v>378</v>
      </c>
      <c r="B346" t="s">
        <v>19</v>
      </c>
      <c r="C346" t="str">
        <f t="shared" si="45"/>
        <v>Research &amp; Department</v>
      </c>
      <c r="D346" t="s">
        <v>27</v>
      </c>
      <c r="E346" t="str">
        <f t="shared" si="46"/>
        <v>Technova</v>
      </c>
      <c r="F346">
        <v>1</v>
      </c>
      <c r="G346">
        <v>27000</v>
      </c>
      <c r="H346" s="1">
        <v>44669</v>
      </c>
      <c r="I346">
        <v>5</v>
      </c>
      <c r="J346" t="s">
        <v>21</v>
      </c>
      <c r="K346">
        <f t="shared" si="47"/>
        <v>1</v>
      </c>
      <c r="L346">
        <f t="shared" si="48"/>
        <v>3.7037037037037037E-5</v>
      </c>
      <c r="M346" t="b">
        <f t="shared" si="49"/>
        <v>0</v>
      </c>
      <c r="N346" t="b">
        <f t="shared" si="50"/>
        <v>0</v>
      </c>
      <c r="O346" t="s">
        <v>22</v>
      </c>
      <c r="P346">
        <f t="shared" si="51"/>
        <v>5.5555555555555525E-2</v>
      </c>
      <c r="Q346">
        <f t="shared" si="52"/>
        <v>1</v>
      </c>
      <c r="R346">
        <f t="shared" si="53"/>
        <v>0.43333333333333335</v>
      </c>
    </row>
    <row r="347" spans="1:18">
      <c r="A347" t="s">
        <v>379</v>
      </c>
      <c r="B347" t="s">
        <v>102</v>
      </c>
      <c r="C347" t="str">
        <f t="shared" si="45"/>
        <v>Finance</v>
      </c>
      <c r="D347" t="s">
        <v>27</v>
      </c>
      <c r="E347" t="str">
        <f t="shared" si="46"/>
        <v>Technova</v>
      </c>
      <c r="F347">
        <v>8</v>
      </c>
      <c r="G347">
        <v>34000</v>
      </c>
      <c r="H347" s="1">
        <v>38542</v>
      </c>
      <c r="I347">
        <v>3</v>
      </c>
      <c r="J347" t="s">
        <v>57</v>
      </c>
      <c r="K347">
        <f t="shared" si="47"/>
        <v>2</v>
      </c>
      <c r="L347">
        <f t="shared" si="48"/>
        <v>5.8823529411764708E-5</v>
      </c>
      <c r="M347" t="b">
        <f t="shared" si="49"/>
        <v>0</v>
      </c>
      <c r="N347" t="b">
        <f t="shared" si="50"/>
        <v>1</v>
      </c>
      <c r="O347" t="s">
        <v>22</v>
      </c>
      <c r="P347">
        <f t="shared" si="51"/>
        <v>0.38235294117647056</v>
      </c>
      <c r="Q347">
        <f t="shared" si="52"/>
        <v>0.5</v>
      </c>
      <c r="R347">
        <f t="shared" si="53"/>
        <v>0.42941176470588233</v>
      </c>
    </row>
    <row r="348" spans="1:18">
      <c r="A348" t="s">
        <v>380</v>
      </c>
      <c r="B348" t="s">
        <v>60</v>
      </c>
      <c r="C348" t="str">
        <f t="shared" si="45"/>
        <v>Manufacturing and operations</v>
      </c>
      <c r="D348" t="s">
        <v>20</v>
      </c>
      <c r="E348" t="str">
        <f t="shared" si="46"/>
        <v>Dataverse</v>
      </c>
      <c r="F348">
        <v>4</v>
      </c>
      <c r="G348">
        <v>34000</v>
      </c>
      <c r="H348" s="1">
        <v>45456</v>
      </c>
      <c r="I348">
        <v>3</v>
      </c>
      <c r="J348" t="s">
        <v>57</v>
      </c>
      <c r="K348">
        <f t="shared" si="47"/>
        <v>2</v>
      </c>
      <c r="L348">
        <f t="shared" si="48"/>
        <v>5.8823529411764708E-5</v>
      </c>
      <c r="M348" t="b">
        <f t="shared" si="49"/>
        <v>0</v>
      </c>
      <c r="N348" t="b">
        <f t="shared" si="50"/>
        <v>0</v>
      </c>
      <c r="O348" t="s">
        <v>22</v>
      </c>
      <c r="P348">
        <f t="shared" si="51"/>
        <v>0.38235294117647056</v>
      </c>
      <c r="Q348">
        <f t="shared" si="52"/>
        <v>0.5</v>
      </c>
      <c r="R348">
        <f t="shared" si="53"/>
        <v>0.42941176470588233</v>
      </c>
    </row>
    <row r="349" spans="1:18">
      <c r="A349" t="s">
        <v>381</v>
      </c>
      <c r="B349" t="s">
        <v>60</v>
      </c>
      <c r="C349" t="str">
        <f t="shared" si="45"/>
        <v>Manufacturing and operations</v>
      </c>
      <c r="D349" t="s">
        <v>20</v>
      </c>
      <c r="E349" t="str">
        <f t="shared" si="46"/>
        <v>Dataverse</v>
      </c>
      <c r="F349">
        <v>14</v>
      </c>
      <c r="G349">
        <v>34000</v>
      </c>
      <c r="H349" s="1">
        <v>42026</v>
      </c>
      <c r="I349">
        <v>3</v>
      </c>
      <c r="J349" t="s">
        <v>57</v>
      </c>
      <c r="K349">
        <f t="shared" si="47"/>
        <v>2</v>
      </c>
      <c r="L349">
        <f t="shared" si="48"/>
        <v>5.8823529411764708E-5</v>
      </c>
      <c r="M349" t="b">
        <f t="shared" si="49"/>
        <v>0</v>
      </c>
      <c r="N349" t="b">
        <f t="shared" si="50"/>
        <v>1</v>
      </c>
      <c r="O349" t="s">
        <v>22</v>
      </c>
      <c r="P349">
        <f t="shared" si="51"/>
        <v>0.38235294117647056</v>
      </c>
      <c r="Q349">
        <f t="shared" si="52"/>
        <v>0.5</v>
      </c>
      <c r="R349">
        <f t="shared" si="53"/>
        <v>0.42941176470588233</v>
      </c>
    </row>
    <row r="350" spans="1:18">
      <c r="A350" t="s">
        <v>382</v>
      </c>
      <c r="B350" t="s">
        <v>70</v>
      </c>
      <c r="C350" t="str">
        <f t="shared" si="45"/>
        <v>Customer Experience</v>
      </c>
      <c r="D350" t="s">
        <v>20</v>
      </c>
      <c r="E350" t="str">
        <f t="shared" si="46"/>
        <v>Dataverse</v>
      </c>
      <c r="F350">
        <v>17</v>
      </c>
      <c r="G350">
        <v>42000</v>
      </c>
      <c r="H350" s="1">
        <v>41374</v>
      </c>
      <c r="I350">
        <v>4</v>
      </c>
      <c r="J350" t="s">
        <v>57</v>
      </c>
      <c r="K350">
        <f t="shared" si="47"/>
        <v>2</v>
      </c>
      <c r="L350">
        <f t="shared" si="48"/>
        <v>4.761904761904762E-5</v>
      </c>
      <c r="M350" t="b">
        <f t="shared" si="49"/>
        <v>1</v>
      </c>
      <c r="N350" t="b">
        <f t="shared" si="50"/>
        <v>1</v>
      </c>
      <c r="O350" t="s">
        <v>22</v>
      </c>
      <c r="P350">
        <f t="shared" si="51"/>
        <v>0.21428571428571427</v>
      </c>
      <c r="Q350">
        <f t="shared" si="52"/>
        <v>0.75</v>
      </c>
      <c r="R350">
        <f t="shared" si="53"/>
        <v>0.4285714285714286</v>
      </c>
    </row>
    <row r="351" spans="1:18">
      <c r="A351" t="s">
        <v>383</v>
      </c>
      <c r="B351" t="s">
        <v>204</v>
      </c>
      <c r="C351" t="str">
        <f t="shared" si="45"/>
        <v>Administrative Services</v>
      </c>
      <c r="D351" t="s">
        <v>27</v>
      </c>
      <c r="E351" t="str">
        <f t="shared" si="46"/>
        <v>Technova</v>
      </c>
      <c r="F351">
        <v>9</v>
      </c>
      <c r="G351">
        <v>63000</v>
      </c>
      <c r="H351" s="1">
        <v>44807</v>
      </c>
      <c r="I351">
        <v>4</v>
      </c>
      <c r="J351" t="s">
        <v>174</v>
      </c>
      <c r="K351">
        <f t="shared" si="47"/>
        <v>3</v>
      </c>
      <c r="L351">
        <f t="shared" si="48"/>
        <v>4.761904761904762E-5</v>
      </c>
      <c r="M351" t="b">
        <f t="shared" si="49"/>
        <v>0</v>
      </c>
      <c r="N351" t="b">
        <f t="shared" si="50"/>
        <v>1</v>
      </c>
      <c r="O351" t="s">
        <v>22</v>
      </c>
      <c r="P351">
        <f t="shared" si="51"/>
        <v>0.21428571428571427</v>
      </c>
      <c r="Q351">
        <f t="shared" si="52"/>
        <v>0.75</v>
      </c>
      <c r="R351">
        <f t="shared" si="53"/>
        <v>0.4285714285714286</v>
      </c>
    </row>
    <row r="352" spans="1:18">
      <c r="A352" t="s">
        <v>384</v>
      </c>
      <c r="B352" t="s">
        <v>19</v>
      </c>
      <c r="C352" t="str">
        <f t="shared" si="45"/>
        <v>Research &amp; Department</v>
      </c>
      <c r="D352" t="s">
        <v>27</v>
      </c>
      <c r="E352" t="str">
        <f t="shared" si="46"/>
        <v>Technova</v>
      </c>
      <c r="F352">
        <v>8</v>
      </c>
      <c r="G352">
        <v>21000</v>
      </c>
      <c r="H352" s="1">
        <v>39960</v>
      </c>
      <c r="I352">
        <v>4</v>
      </c>
      <c r="J352" t="s">
        <v>21</v>
      </c>
      <c r="K352">
        <f t="shared" si="47"/>
        <v>1</v>
      </c>
      <c r="L352">
        <f t="shared" si="48"/>
        <v>4.761904761904762E-5</v>
      </c>
      <c r="M352" t="b">
        <f t="shared" si="49"/>
        <v>0</v>
      </c>
      <c r="N352" t="b">
        <f t="shared" si="50"/>
        <v>1</v>
      </c>
      <c r="O352" t="s">
        <v>22</v>
      </c>
      <c r="P352">
        <f t="shared" si="51"/>
        <v>0.21428571428571427</v>
      </c>
      <c r="Q352">
        <f t="shared" si="52"/>
        <v>0.75</v>
      </c>
      <c r="R352">
        <f t="shared" si="53"/>
        <v>0.4285714285714286</v>
      </c>
    </row>
    <row r="353" spans="1:18">
      <c r="A353" t="s">
        <v>385</v>
      </c>
      <c r="B353" t="s">
        <v>56</v>
      </c>
      <c r="C353" t="str">
        <f t="shared" si="45"/>
        <v>IT &amp; Systems</v>
      </c>
      <c r="D353" t="s">
        <v>27</v>
      </c>
      <c r="E353" t="str">
        <f t="shared" si="46"/>
        <v>Technova</v>
      </c>
      <c r="F353">
        <v>15</v>
      </c>
      <c r="G353">
        <v>42000</v>
      </c>
      <c r="H353" s="1">
        <v>43150</v>
      </c>
      <c r="I353">
        <v>4</v>
      </c>
      <c r="J353" t="s">
        <v>57</v>
      </c>
      <c r="K353">
        <f t="shared" si="47"/>
        <v>2</v>
      </c>
      <c r="L353">
        <f t="shared" si="48"/>
        <v>4.761904761904762E-5</v>
      </c>
      <c r="M353" t="b">
        <f t="shared" si="49"/>
        <v>0</v>
      </c>
      <c r="N353" t="b">
        <f t="shared" si="50"/>
        <v>1</v>
      </c>
      <c r="O353" t="s">
        <v>22</v>
      </c>
      <c r="P353">
        <f t="shared" si="51"/>
        <v>0.21428571428571427</v>
      </c>
      <c r="Q353">
        <f t="shared" si="52"/>
        <v>0.75</v>
      </c>
      <c r="R353">
        <f t="shared" si="53"/>
        <v>0.4285714285714286</v>
      </c>
    </row>
    <row r="354" spans="1:18">
      <c r="A354" t="s">
        <v>386</v>
      </c>
      <c r="B354" t="s">
        <v>60</v>
      </c>
      <c r="C354" t="str">
        <f t="shared" si="45"/>
        <v>Manufacturing and operations</v>
      </c>
      <c r="D354" t="s">
        <v>20</v>
      </c>
      <c r="E354" t="str">
        <f t="shared" si="46"/>
        <v>Dataverse</v>
      </c>
      <c r="F354">
        <v>11</v>
      </c>
      <c r="G354">
        <v>42000</v>
      </c>
      <c r="H354" s="1">
        <v>44221</v>
      </c>
      <c r="I354">
        <v>4</v>
      </c>
      <c r="J354" t="s">
        <v>57</v>
      </c>
      <c r="K354">
        <f t="shared" si="47"/>
        <v>2</v>
      </c>
      <c r="L354">
        <f t="shared" si="48"/>
        <v>4.761904761904762E-5</v>
      </c>
      <c r="M354" t="b">
        <f t="shared" si="49"/>
        <v>0</v>
      </c>
      <c r="N354" t="b">
        <f t="shared" si="50"/>
        <v>1</v>
      </c>
      <c r="O354" t="s">
        <v>22</v>
      </c>
      <c r="P354">
        <f t="shared" si="51"/>
        <v>0.21428571428571427</v>
      </c>
      <c r="Q354">
        <f t="shared" si="52"/>
        <v>0.75</v>
      </c>
      <c r="R354">
        <f t="shared" si="53"/>
        <v>0.4285714285714286</v>
      </c>
    </row>
    <row r="355" spans="1:18">
      <c r="A355" t="s">
        <v>387</v>
      </c>
      <c r="B355" t="s">
        <v>70</v>
      </c>
      <c r="C355" t="str">
        <f t="shared" si="45"/>
        <v>Customer Experience</v>
      </c>
      <c r="D355" t="s">
        <v>20</v>
      </c>
      <c r="E355" t="str">
        <f t="shared" si="46"/>
        <v>Dataverse</v>
      </c>
      <c r="F355">
        <v>23</v>
      </c>
      <c r="G355">
        <v>63000</v>
      </c>
      <c r="H355" s="1">
        <v>42669</v>
      </c>
      <c r="I355">
        <v>4</v>
      </c>
      <c r="J355" t="s">
        <v>174</v>
      </c>
      <c r="K355">
        <f t="shared" si="47"/>
        <v>3</v>
      </c>
      <c r="L355">
        <f t="shared" si="48"/>
        <v>4.761904761904762E-5</v>
      </c>
      <c r="M355" t="b">
        <f t="shared" si="49"/>
        <v>1</v>
      </c>
      <c r="N355" t="b">
        <f t="shared" si="50"/>
        <v>1</v>
      </c>
      <c r="O355" t="s">
        <v>22</v>
      </c>
      <c r="P355">
        <f t="shared" si="51"/>
        <v>0.21428571428571427</v>
      </c>
      <c r="Q355">
        <f t="shared" si="52"/>
        <v>0.75</v>
      </c>
      <c r="R355">
        <f t="shared" si="53"/>
        <v>0.4285714285714286</v>
      </c>
    </row>
    <row r="356" spans="1:18">
      <c r="A356" t="s">
        <v>388</v>
      </c>
      <c r="B356" t="s">
        <v>60</v>
      </c>
      <c r="C356" t="str">
        <f t="shared" si="45"/>
        <v>Manufacturing and operations</v>
      </c>
      <c r="D356" t="s">
        <v>27</v>
      </c>
      <c r="E356" t="str">
        <f t="shared" si="46"/>
        <v>Technova</v>
      </c>
      <c r="F356">
        <v>16</v>
      </c>
      <c r="G356">
        <v>42000</v>
      </c>
      <c r="H356" s="1">
        <v>40735</v>
      </c>
      <c r="I356">
        <v>4</v>
      </c>
      <c r="J356" t="s">
        <v>57</v>
      </c>
      <c r="K356">
        <f t="shared" si="47"/>
        <v>2</v>
      </c>
      <c r="L356">
        <f t="shared" si="48"/>
        <v>4.761904761904762E-5</v>
      </c>
      <c r="M356" t="b">
        <f t="shared" si="49"/>
        <v>1</v>
      </c>
      <c r="N356" t="b">
        <f t="shared" si="50"/>
        <v>1</v>
      </c>
      <c r="O356" t="s">
        <v>22</v>
      </c>
      <c r="P356">
        <f t="shared" si="51"/>
        <v>0.21428571428571427</v>
      </c>
      <c r="Q356">
        <f t="shared" si="52"/>
        <v>0.75</v>
      </c>
      <c r="R356">
        <f t="shared" si="53"/>
        <v>0.4285714285714286</v>
      </c>
    </row>
    <row r="357" spans="1:18">
      <c r="A357" t="s">
        <v>389</v>
      </c>
      <c r="B357" t="s">
        <v>25</v>
      </c>
      <c r="C357" t="str">
        <f t="shared" si="45"/>
        <v>Sales &amp; Marketing</v>
      </c>
      <c r="D357" t="s">
        <v>20</v>
      </c>
      <c r="E357" t="str">
        <f t="shared" si="46"/>
        <v>Dataverse</v>
      </c>
      <c r="F357">
        <v>24</v>
      </c>
      <c r="G357">
        <v>21000</v>
      </c>
      <c r="H357" s="1">
        <v>40499</v>
      </c>
      <c r="I357">
        <v>4</v>
      </c>
      <c r="J357" t="s">
        <v>21</v>
      </c>
      <c r="K357">
        <f t="shared" si="47"/>
        <v>1</v>
      </c>
      <c r="L357">
        <f t="shared" si="48"/>
        <v>4.761904761904762E-5</v>
      </c>
      <c r="M357" t="b">
        <f t="shared" si="49"/>
        <v>1</v>
      </c>
      <c r="N357" t="b">
        <f t="shared" si="50"/>
        <v>1</v>
      </c>
      <c r="O357" t="s">
        <v>22</v>
      </c>
      <c r="P357">
        <f t="shared" si="51"/>
        <v>0.21428571428571427</v>
      </c>
      <c r="Q357">
        <f t="shared" si="52"/>
        <v>0.75</v>
      </c>
      <c r="R357">
        <f t="shared" si="53"/>
        <v>0.4285714285714286</v>
      </c>
    </row>
    <row r="358" spans="1:18">
      <c r="A358" t="s">
        <v>390</v>
      </c>
      <c r="B358" t="s">
        <v>70</v>
      </c>
      <c r="C358" t="str">
        <f t="shared" si="45"/>
        <v>Customer Experience</v>
      </c>
      <c r="D358" t="s">
        <v>27</v>
      </c>
      <c r="E358" t="str">
        <f t="shared" si="46"/>
        <v>Technova</v>
      </c>
      <c r="F358">
        <v>22</v>
      </c>
      <c r="G358">
        <v>63000</v>
      </c>
      <c r="H358" s="1">
        <v>42835</v>
      </c>
      <c r="I358">
        <v>4</v>
      </c>
      <c r="J358" t="s">
        <v>174</v>
      </c>
      <c r="K358">
        <f t="shared" si="47"/>
        <v>3</v>
      </c>
      <c r="L358">
        <f t="shared" si="48"/>
        <v>4.761904761904762E-5</v>
      </c>
      <c r="M358" t="b">
        <f t="shared" si="49"/>
        <v>1</v>
      </c>
      <c r="N358" t="b">
        <f t="shared" si="50"/>
        <v>1</v>
      </c>
      <c r="O358" t="s">
        <v>22</v>
      </c>
      <c r="P358">
        <f t="shared" si="51"/>
        <v>0.21428571428571427</v>
      </c>
      <c r="Q358">
        <f t="shared" si="52"/>
        <v>0.75</v>
      </c>
      <c r="R358">
        <f t="shared" si="53"/>
        <v>0.4285714285714286</v>
      </c>
    </row>
    <row r="359" spans="1:18">
      <c r="A359" t="s">
        <v>391</v>
      </c>
      <c r="B359" t="s">
        <v>204</v>
      </c>
      <c r="C359" t="str">
        <f t="shared" si="45"/>
        <v>Administrative Services</v>
      </c>
      <c r="D359" t="s">
        <v>27</v>
      </c>
      <c r="E359" t="str">
        <f t="shared" si="46"/>
        <v>Technova</v>
      </c>
      <c r="F359">
        <v>6</v>
      </c>
      <c r="G359">
        <v>83000</v>
      </c>
      <c r="H359" s="1">
        <v>39549</v>
      </c>
      <c r="I359">
        <v>5</v>
      </c>
      <c r="J359" t="s">
        <v>174</v>
      </c>
      <c r="K359">
        <f t="shared" si="47"/>
        <v>3</v>
      </c>
      <c r="L359">
        <f t="shared" si="48"/>
        <v>3.614457831325301E-5</v>
      </c>
      <c r="M359" t="b">
        <f t="shared" si="49"/>
        <v>0</v>
      </c>
      <c r="N359" t="b">
        <f t="shared" si="50"/>
        <v>1</v>
      </c>
      <c r="O359" t="s">
        <v>22</v>
      </c>
      <c r="P359">
        <f t="shared" si="51"/>
        <v>4.2168674698795129E-2</v>
      </c>
      <c r="Q359">
        <f t="shared" si="52"/>
        <v>1</v>
      </c>
      <c r="R359">
        <f t="shared" si="53"/>
        <v>0.42530120481927708</v>
      </c>
    </row>
    <row r="360" spans="1:18">
      <c r="A360" t="s">
        <v>392</v>
      </c>
      <c r="B360" t="s">
        <v>224</v>
      </c>
      <c r="C360" t="str">
        <f t="shared" si="45"/>
        <v>Business Strategy</v>
      </c>
      <c r="D360" t="s">
        <v>20</v>
      </c>
      <c r="E360" t="str">
        <f t="shared" si="46"/>
        <v>Dataverse</v>
      </c>
      <c r="F360">
        <v>1</v>
      </c>
      <c r="G360">
        <v>83000</v>
      </c>
      <c r="H360" s="1">
        <v>40414</v>
      </c>
      <c r="I360">
        <v>5</v>
      </c>
      <c r="J360" t="s">
        <v>174</v>
      </c>
      <c r="K360">
        <f t="shared" si="47"/>
        <v>3</v>
      </c>
      <c r="L360">
        <f t="shared" si="48"/>
        <v>3.614457831325301E-5</v>
      </c>
      <c r="M360" t="b">
        <f t="shared" si="49"/>
        <v>0</v>
      </c>
      <c r="N360" t="b">
        <f t="shared" si="50"/>
        <v>0</v>
      </c>
      <c r="O360" t="s">
        <v>22</v>
      </c>
      <c r="P360">
        <f t="shared" si="51"/>
        <v>4.2168674698795129E-2</v>
      </c>
      <c r="Q360">
        <f t="shared" si="52"/>
        <v>1</v>
      </c>
      <c r="R360">
        <f t="shared" si="53"/>
        <v>0.42530120481927708</v>
      </c>
    </row>
    <row r="361" spans="1:18">
      <c r="A361" t="s">
        <v>393</v>
      </c>
      <c r="B361" t="s">
        <v>224</v>
      </c>
      <c r="C361" t="str">
        <f t="shared" si="45"/>
        <v>Business Strategy</v>
      </c>
      <c r="D361" t="s">
        <v>27</v>
      </c>
      <c r="E361" t="str">
        <f t="shared" si="46"/>
        <v>Technova</v>
      </c>
      <c r="F361">
        <v>25</v>
      </c>
      <c r="G361">
        <v>64000</v>
      </c>
      <c r="H361" s="1">
        <v>42140</v>
      </c>
      <c r="I361">
        <v>4</v>
      </c>
      <c r="J361" t="s">
        <v>174</v>
      </c>
      <c r="K361">
        <f t="shared" si="47"/>
        <v>3</v>
      </c>
      <c r="L361">
        <f t="shared" si="48"/>
        <v>4.6875000000000001E-5</v>
      </c>
      <c r="M361" t="b">
        <f t="shared" si="49"/>
        <v>1</v>
      </c>
      <c r="N361" t="b">
        <f t="shared" si="50"/>
        <v>1</v>
      </c>
      <c r="O361" t="s">
        <v>22</v>
      </c>
      <c r="P361">
        <f t="shared" si="51"/>
        <v>0.20312499999999997</v>
      </c>
      <c r="Q361">
        <f t="shared" si="52"/>
        <v>0.75</v>
      </c>
      <c r="R361">
        <f t="shared" si="53"/>
        <v>0.421875</v>
      </c>
    </row>
    <row r="362" spans="1:18">
      <c r="A362" t="s">
        <v>394</v>
      </c>
      <c r="B362" t="s">
        <v>19</v>
      </c>
      <c r="C362" t="str">
        <f t="shared" si="45"/>
        <v>Research &amp; Department</v>
      </c>
      <c r="D362" t="s">
        <v>27</v>
      </c>
      <c r="E362" t="str">
        <f t="shared" si="46"/>
        <v>Technova</v>
      </c>
      <c r="F362">
        <v>23</v>
      </c>
      <c r="G362">
        <v>28000</v>
      </c>
      <c r="H362" s="1">
        <v>40633</v>
      </c>
      <c r="I362">
        <v>5</v>
      </c>
      <c r="J362" t="s">
        <v>21</v>
      </c>
      <c r="K362">
        <f t="shared" si="47"/>
        <v>1</v>
      </c>
      <c r="L362">
        <f t="shared" si="48"/>
        <v>3.5714285714285717E-5</v>
      </c>
      <c r="M362" t="b">
        <f t="shared" si="49"/>
        <v>1</v>
      </c>
      <c r="N362" t="b">
        <f t="shared" si="50"/>
        <v>1</v>
      </c>
      <c r="O362" t="s">
        <v>22</v>
      </c>
      <c r="P362">
        <f t="shared" si="51"/>
        <v>3.5714285714285726E-2</v>
      </c>
      <c r="Q362">
        <f t="shared" si="52"/>
        <v>1</v>
      </c>
      <c r="R362">
        <f t="shared" si="53"/>
        <v>0.42142857142857149</v>
      </c>
    </row>
    <row r="363" spans="1:18">
      <c r="A363" t="s">
        <v>395</v>
      </c>
      <c r="B363" t="s">
        <v>19</v>
      </c>
      <c r="C363" t="str">
        <f t="shared" si="45"/>
        <v>Research &amp; Department</v>
      </c>
      <c r="D363" t="s">
        <v>27</v>
      </c>
      <c r="E363" t="str">
        <f t="shared" si="46"/>
        <v>Technova</v>
      </c>
      <c r="F363">
        <v>4</v>
      </c>
      <c r="G363">
        <v>28000</v>
      </c>
      <c r="H363" s="1">
        <v>38580</v>
      </c>
      <c r="I363">
        <v>5</v>
      </c>
      <c r="J363" t="s">
        <v>21</v>
      </c>
      <c r="K363">
        <f t="shared" si="47"/>
        <v>1</v>
      </c>
      <c r="L363">
        <f t="shared" si="48"/>
        <v>3.5714285714285717E-5</v>
      </c>
      <c r="M363" t="b">
        <f t="shared" si="49"/>
        <v>0</v>
      </c>
      <c r="N363" t="b">
        <f t="shared" si="50"/>
        <v>0</v>
      </c>
      <c r="O363" t="s">
        <v>22</v>
      </c>
      <c r="P363">
        <f t="shared" si="51"/>
        <v>3.5714285714285726E-2</v>
      </c>
      <c r="Q363">
        <f t="shared" si="52"/>
        <v>1</v>
      </c>
      <c r="R363">
        <f t="shared" si="53"/>
        <v>0.42142857142857149</v>
      </c>
    </row>
    <row r="364" spans="1:18">
      <c r="A364" t="s">
        <v>396</v>
      </c>
      <c r="B364" t="s">
        <v>204</v>
      </c>
      <c r="C364" t="str">
        <f t="shared" si="45"/>
        <v>Administrative Services</v>
      </c>
      <c r="D364" t="s">
        <v>20</v>
      </c>
      <c r="E364" t="str">
        <f t="shared" si="46"/>
        <v>Dataverse</v>
      </c>
      <c r="F364">
        <v>23</v>
      </c>
      <c r="G364">
        <v>84000</v>
      </c>
      <c r="H364" s="1">
        <v>42695</v>
      </c>
      <c r="I364">
        <v>5</v>
      </c>
      <c r="J364" t="s">
        <v>174</v>
      </c>
      <c r="K364">
        <f t="shared" si="47"/>
        <v>3</v>
      </c>
      <c r="L364">
        <f t="shared" si="48"/>
        <v>3.5714285714285717E-5</v>
      </c>
      <c r="M364" t="b">
        <f t="shared" si="49"/>
        <v>1</v>
      </c>
      <c r="N364" t="b">
        <f t="shared" si="50"/>
        <v>1</v>
      </c>
      <c r="O364" t="s">
        <v>22</v>
      </c>
      <c r="P364">
        <f t="shared" si="51"/>
        <v>3.5714285714285726E-2</v>
      </c>
      <c r="Q364">
        <f t="shared" si="52"/>
        <v>1</v>
      </c>
      <c r="R364">
        <f t="shared" si="53"/>
        <v>0.42142857142857149</v>
      </c>
    </row>
    <row r="365" spans="1:18">
      <c r="A365" t="s">
        <v>397</v>
      </c>
      <c r="B365" t="s">
        <v>102</v>
      </c>
      <c r="C365" t="str">
        <f t="shared" si="45"/>
        <v>Finance</v>
      </c>
      <c r="D365" t="s">
        <v>20</v>
      </c>
      <c r="E365" t="str">
        <f t="shared" si="46"/>
        <v>Dataverse</v>
      </c>
      <c r="F365">
        <v>24</v>
      </c>
      <c r="G365">
        <v>43000</v>
      </c>
      <c r="H365" s="1">
        <v>39966</v>
      </c>
      <c r="I365">
        <v>4</v>
      </c>
      <c r="J365" t="s">
        <v>57</v>
      </c>
      <c r="K365">
        <f t="shared" si="47"/>
        <v>2</v>
      </c>
      <c r="L365">
        <f t="shared" si="48"/>
        <v>4.6511627906976741E-5</v>
      </c>
      <c r="M365" t="b">
        <f t="shared" si="49"/>
        <v>1</v>
      </c>
      <c r="N365" t="b">
        <f t="shared" si="50"/>
        <v>1</v>
      </c>
      <c r="O365" t="s">
        <v>22</v>
      </c>
      <c r="P365">
        <f t="shared" si="51"/>
        <v>0.1976744186046511</v>
      </c>
      <c r="Q365">
        <f t="shared" si="52"/>
        <v>0.75</v>
      </c>
      <c r="R365">
        <f t="shared" si="53"/>
        <v>0.41860465116279066</v>
      </c>
    </row>
    <row r="366" spans="1:18">
      <c r="A366" t="s">
        <v>398</v>
      </c>
      <c r="B366" t="s">
        <v>102</v>
      </c>
      <c r="C366" t="str">
        <f t="shared" si="45"/>
        <v>Finance</v>
      </c>
      <c r="D366" t="s">
        <v>27</v>
      </c>
      <c r="E366" t="str">
        <f t="shared" si="46"/>
        <v>Technova</v>
      </c>
      <c r="F366">
        <v>17</v>
      </c>
      <c r="G366">
        <v>43000</v>
      </c>
      <c r="H366" s="1">
        <v>40628</v>
      </c>
      <c r="I366">
        <v>4</v>
      </c>
      <c r="J366" t="s">
        <v>57</v>
      </c>
      <c r="K366">
        <f t="shared" si="47"/>
        <v>2</v>
      </c>
      <c r="L366">
        <f t="shared" si="48"/>
        <v>4.6511627906976741E-5</v>
      </c>
      <c r="M366" t="b">
        <f t="shared" si="49"/>
        <v>1</v>
      </c>
      <c r="N366" t="b">
        <f t="shared" si="50"/>
        <v>1</v>
      </c>
      <c r="O366" t="s">
        <v>22</v>
      </c>
      <c r="P366">
        <f t="shared" si="51"/>
        <v>0.1976744186046511</v>
      </c>
      <c r="Q366">
        <f t="shared" si="52"/>
        <v>0.75</v>
      </c>
      <c r="R366">
        <f t="shared" si="53"/>
        <v>0.41860465116279066</v>
      </c>
    </row>
    <row r="367" spans="1:18">
      <c r="A367" t="s">
        <v>399</v>
      </c>
      <c r="B367" t="s">
        <v>74</v>
      </c>
      <c r="C367" t="str">
        <f t="shared" si="45"/>
        <v>Human Resources</v>
      </c>
      <c r="D367" t="s">
        <v>27</v>
      </c>
      <c r="E367" t="str">
        <f t="shared" si="46"/>
        <v>Technova</v>
      </c>
      <c r="F367">
        <v>21</v>
      </c>
      <c r="G367">
        <v>43000</v>
      </c>
      <c r="H367" s="1">
        <v>40650</v>
      </c>
      <c r="I367">
        <v>4</v>
      </c>
      <c r="J367" t="s">
        <v>57</v>
      </c>
      <c r="K367">
        <f t="shared" si="47"/>
        <v>2</v>
      </c>
      <c r="L367">
        <f t="shared" si="48"/>
        <v>4.6511627906976741E-5</v>
      </c>
      <c r="M367" t="b">
        <f t="shared" si="49"/>
        <v>1</v>
      </c>
      <c r="N367" t="b">
        <f t="shared" si="50"/>
        <v>1</v>
      </c>
      <c r="O367" t="s">
        <v>22</v>
      </c>
      <c r="P367">
        <f t="shared" si="51"/>
        <v>0.1976744186046511</v>
      </c>
      <c r="Q367">
        <f t="shared" si="52"/>
        <v>0.75</v>
      </c>
      <c r="R367">
        <f t="shared" si="53"/>
        <v>0.41860465116279066</v>
      </c>
    </row>
    <row r="368" spans="1:18">
      <c r="A368" t="s">
        <v>400</v>
      </c>
      <c r="B368" t="s">
        <v>60</v>
      </c>
      <c r="C368" t="str">
        <f t="shared" si="45"/>
        <v>Manufacturing and operations</v>
      </c>
      <c r="D368" t="s">
        <v>20</v>
      </c>
      <c r="E368" t="str">
        <f t="shared" si="46"/>
        <v>Dataverse</v>
      </c>
      <c r="F368">
        <v>8</v>
      </c>
      <c r="G368">
        <v>43000</v>
      </c>
      <c r="H368" s="1">
        <v>45074</v>
      </c>
      <c r="I368">
        <v>4</v>
      </c>
      <c r="J368" t="s">
        <v>57</v>
      </c>
      <c r="K368">
        <f t="shared" si="47"/>
        <v>2</v>
      </c>
      <c r="L368">
        <f t="shared" si="48"/>
        <v>4.6511627906976741E-5</v>
      </c>
      <c r="M368" t="b">
        <f t="shared" si="49"/>
        <v>0</v>
      </c>
      <c r="N368" t="b">
        <f t="shared" si="50"/>
        <v>1</v>
      </c>
      <c r="O368" t="s">
        <v>22</v>
      </c>
      <c r="P368">
        <f t="shared" si="51"/>
        <v>0.1976744186046511</v>
      </c>
      <c r="Q368">
        <f t="shared" si="52"/>
        <v>0.75</v>
      </c>
      <c r="R368">
        <f t="shared" si="53"/>
        <v>0.41860465116279066</v>
      </c>
    </row>
    <row r="369" spans="1:18">
      <c r="A369" t="s">
        <v>401</v>
      </c>
      <c r="B369" t="s">
        <v>60</v>
      </c>
      <c r="C369" t="str">
        <f t="shared" si="45"/>
        <v>Manufacturing and operations</v>
      </c>
      <c r="D369" t="s">
        <v>20</v>
      </c>
      <c r="E369" t="str">
        <f t="shared" si="46"/>
        <v>Dataverse</v>
      </c>
      <c r="F369">
        <v>17</v>
      </c>
      <c r="G369">
        <v>43000</v>
      </c>
      <c r="H369" s="1">
        <v>43778</v>
      </c>
      <c r="I369">
        <v>4</v>
      </c>
      <c r="J369" t="s">
        <v>57</v>
      </c>
      <c r="K369">
        <f t="shared" si="47"/>
        <v>2</v>
      </c>
      <c r="L369">
        <f t="shared" si="48"/>
        <v>4.6511627906976741E-5</v>
      </c>
      <c r="M369" t="b">
        <f t="shared" si="49"/>
        <v>1</v>
      </c>
      <c r="N369" t="b">
        <f t="shared" si="50"/>
        <v>1</v>
      </c>
      <c r="O369" t="s">
        <v>22</v>
      </c>
      <c r="P369">
        <f t="shared" si="51"/>
        <v>0.1976744186046511</v>
      </c>
      <c r="Q369">
        <f t="shared" si="52"/>
        <v>0.75</v>
      </c>
      <c r="R369">
        <f t="shared" si="53"/>
        <v>0.41860465116279066</v>
      </c>
    </row>
    <row r="370" spans="1:18">
      <c r="A370" t="s">
        <v>402</v>
      </c>
      <c r="B370" t="s">
        <v>70</v>
      </c>
      <c r="C370" t="str">
        <f t="shared" si="45"/>
        <v>Customer Experience</v>
      </c>
      <c r="D370" t="s">
        <v>27</v>
      </c>
      <c r="E370" t="str">
        <f t="shared" si="46"/>
        <v>Technova</v>
      </c>
      <c r="F370">
        <v>13</v>
      </c>
      <c r="G370">
        <v>85000</v>
      </c>
      <c r="H370" s="1">
        <v>43389</v>
      </c>
      <c r="I370">
        <v>5</v>
      </c>
      <c r="J370" t="s">
        <v>174</v>
      </c>
      <c r="K370">
        <f t="shared" si="47"/>
        <v>3</v>
      </c>
      <c r="L370">
        <f t="shared" si="48"/>
        <v>3.529411764705882E-5</v>
      </c>
      <c r="M370" t="b">
        <f t="shared" si="49"/>
        <v>0</v>
      </c>
      <c r="N370" t="b">
        <f t="shared" si="50"/>
        <v>1</v>
      </c>
      <c r="O370" t="s">
        <v>22</v>
      </c>
      <c r="P370">
        <f t="shared" si="51"/>
        <v>2.941176470588228E-2</v>
      </c>
      <c r="Q370">
        <f t="shared" si="52"/>
        <v>1</v>
      </c>
      <c r="R370">
        <f t="shared" si="53"/>
        <v>0.41764705882352937</v>
      </c>
    </row>
    <row r="371" spans="1:18">
      <c r="A371" t="s">
        <v>403</v>
      </c>
      <c r="B371" t="s">
        <v>70</v>
      </c>
      <c r="C371" t="str">
        <f t="shared" si="45"/>
        <v>Customer Experience</v>
      </c>
      <c r="D371" t="s">
        <v>20</v>
      </c>
      <c r="E371" t="str">
        <f t="shared" si="46"/>
        <v>Dataverse</v>
      </c>
      <c r="F371">
        <v>23</v>
      </c>
      <c r="G371">
        <v>85000</v>
      </c>
      <c r="H371" s="1">
        <v>41359</v>
      </c>
      <c r="I371">
        <v>5</v>
      </c>
      <c r="J371" t="s">
        <v>174</v>
      </c>
      <c r="K371">
        <f t="shared" si="47"/>
        <v>3</v>
      </c>
      <c r="L371">
        <f t="shared" si="48"/>
        <v>3.529411764705882E-5</v>
      </c>
      <c r="M371" t="b">
        <f t="shared" si="49"/>
        <v>1</v>
      </c>
      <c r="N371" t="b">
        <f t="shared" si="50"/>
        <v>1</v>
      </c>
      <c r="O371" t="s">
        <v>22</v>
      </c>
      <c r="P371">
        <f t="shared" si="51"/>
        <v>2.941176470588228E-2</v>
      </c>
      <c r="Q371">
        <f t="shared" si="52"/>
        <v>1</v>
      </c>
      <c r="R371">
        <f t="shared" si="53"/>
        <v>0.41764705882352937</v>
      </c>
    </row>
    <row r="372" spans="1:18">
      <c r="A372" t="s">
        <v>404</v>
      </c>
      <c r="B372" t="s">
        <v>70</v>
      </c>
      <c r="C372" t="str">
        <f t="shared" si="45"/>
        <v>Customer Experience</v>
      </c>
      <c r="D372" t="s">
        <v>20</v>
      </c>
      <c r="E372" t="str">
        <f t="shared" si="46"/>
        <v>Dataverse</v>
      </c>
      <c r="F372">
        <v>17</v>
      </c>
      <c r="G372">
        <v>65000</v>
      </c>
      <c r="H372" s="1">
        <v>43491</v>
      </c>
      <c r="I372">
        <v>4</v>
      </c>
      <c r="J372" t="s">
        <v>174</v>
      </c>
      <c r="K372">
        <f t="shared" si="47"/>
        <v>3</v>
      </c>
      <c r="L372">
        <f t="shared" si="48"/>
        <v>4.6153846153846151E-5</v>
      </c>
      <c r="M372" t="b">
        <f t="shared" si="49"/>
        <v>1</v>
      </c>
      <c r="N372" t="b">
        <f t="shared" si="50"/>
        <v>1</v>
      </c>
      <c r="O372" t="s">
        <v>22</v>
      </c>
      <c r="P372">
        <f t="shared" si="51"/>
        <v>0.19230769230769224</v>
      </c>
      <c r="Q372">
        <f t="shared" si="52"/>
        <v>0.75</v>
      </c>
      <c r="R372">
        <f t="shared" si="53"/>
        <v>0.41538461538461535</v>
      </c>
    </row>
    <row r="373" spans="1:18">
      <c r="A373" t="s">
        <v>405</v>
      </c>
      <c r="B373" t="s">
        <v>70</v>
      </c>
      <c r="C373" t="str">
        <f t="shared" si="45"/>
        <v>Customer Experience</v>
      </c>
      <c r="D373" t="s">
        <v>20</v>
      </c>
      <c r="E373" t="str">
        <f t="shared" si="46"/>
        <v>Dataverse</v>
      </c>
      <c r="F373">
        <v>1</v>
      </c>
      <c r="G373">
        <v>35000</v>
      </c>
      <c r="H373" s="1">
        <v>40562</v>
      </c>
      <c r="I373">
        <v>3</v>
      </c>
      <c r="J373" t="s">
        <v>57</v>
      </c>
      <c r="K373">
        <f t="shared" si="47"/>
        <v>2</v>
      </c>
      <c r="L373">
        <f t="shared" si="48"/>
        <v>5.7142857142857142E-5</v>
      </c>
      <c r="M373" t="b">
        <f t="shared" si="49"/>
        <v>0</v>
      </c>
      <c r="N373" t="b">
        <f t="shared" si="50"/>
        <v>0</v>
      </c>
      <c r="O373" t="s">
        <v>22</v>
      </c>
      <c r="P373">
        <f t="shared" si="51"/>
        <v>0.3571428571428571</v>
      </c>
      <c r="Q373">
        <f t="shared" si="52"/>
        <v>0.5</v>
      </c>
      <c r="R373">
        <f t="shared" si="53"/>
        <v>0.41428571428571426</v>
      </c>
    </row>
    <row r="374" spans="1:18">
      <c r="A374" t="s">
        <v>406</v>
      </c>
      <c r="B374" t="s">
        <v>102</v>
      </c>
      <c r="C374" t="str">
        <f t="shared" si="45"/>
        <v>Finance</v>
      </c>
      <c r="D374" t="s">
        <v>20</v>
      </c>
      <c r="E374" t="str">
        <f t="shared" si="46"/>
        <v>Dataverse</v>
      </c>
      <c r="F374">
        <v>24</v>
      </c>
      <c r="G374">
        <v>35000</v>
      </c>
      <c r="H374" s="1">
        <v>40001</v>
      </c>
      <c r="I374">
        <v>3</v>
      </c>
      <c r="J374" t="s">
        <v>57</v>
      </c>
      <c r="K374">
        <f t="shared" si="47"/>
        <v>2</v>
      </c>
      <c r="L374">
        <f t="shared" si="48"/>
        <v>5.7142857142857142E-5</v>
      </c>
      <c r="M374" t="b">
        <f t="shared" si="49"/>
        <v>1</v>
      </c>
      <c r="N374" t="b">
        <f t="shared" si="50"/>
        <v>1</v>
      </c>
      <c r="O374" t="s">
        <v>22</v>
      </c>
      <c r="P374">
        <f t="shared" si="51"/>
        <v>0.3571428571428571</v>
      </c>
      <c r="Q374">
        <f t="shared" si="52"/>
        <v>0.5</v>
      </c>
      <c r="R374">
        <f t="shared" si="53"/>
        <v>0.41428571428571426</v>
      </c>
    </row>
    <row r="375" spans="1:18">
      <c r="A375" t="s">
        <v>407</v>
      </c>
      <c r="B375" t="s">
        <v>102</v>
      </c>
      <c r="C375" t="str">
        <f t="shared" si="45"/>
        <v>Finance</v>
      </c>
      <c r="D375" t="s">
        <v>27</v>
      </c>
      <c r="E375" t="str">
        <f t="shared" si="46"/>
        <v>Technova</v>
      </c>
      <c r="F375">
        <v>17</v>
      </c>
      <c r="G375">
        <v>35000</v>
      </c>
      <c r="H375" s="1">
        <v>38681</v>
      </c>
      <c r="I375">
        <v>3</v>
      </c>
      <c r="J375" t="s">
        <v>57</v>
      </c>
      <c r="K375">
        <f t="shared" si="47"/>
        <v>2</v>
      </c>
      <c r="L375">
        <f t="shared" si="48"/>
        <v>5.7142857142857142E-5</v>
      </c>
      <c r="M375" t="b">
        <f t="shared" si="49"/>
        <v>1</v>
      </c>
      <c r="N375" t="b">
        <f t="shared" si="50"/>
        <v>1</v>
      </c>
      <c r="O375" t="s">
        <v>22</v>
      </c>
      <c r="P375">
        <f t="shared" si="51"/>
        <v>0.3571428571428571</v>
      </c>
      <c r="Q375">
        <f t="shared" si="52"/>
        <v>0.5</v>
      </c>
      <c r="R375">
        <f t="shared" si="53"/>
        <v>0.41428571428571426</v>
      </c>
    </row>
    <row r="376" spans="1:18">
      <c r="A376" t="s">
        <v>408</v>
      </c>
      <c r="B376" t="s">
        <v>56</v>
      </c>
      <c r="C376" t="str">
        <f t="shared" si="45"/>
        <v>IT &amp; Systems</v>
      </c>
      <c r="D376" t="s">
        <v>20</v>
      </c>
      <c r="E376" t="str">
        <f t="shared" si="46"/>
        <v>Dataverse</v>
      </c>
      <c r="F376">
        <v>25</v>
      </c>
      <c r="G376">
        <v>35000</v>
      </c>
      <c r="H376" s="1">
        <v>38732</v>
      </c>
      <c r="I376">
        <v>3</v>
      </c>
      <c r="J376" t="s">
        <v>57</v>
      </c>
      <c r="K376">
        <f t="shared" si="47"/>
        <v>2</v>
      </c>
      <c r="L376">
        <f t="shared" si="48"/>
        <v>5.7142857142857142E-5</v>
      </c>
      <c r="M376" t="b">
        <f t="shared" si="49"/>
        <v>1</v>
      </c>
      <c r="N376" t="b">
        <f t="shared" si="50"/>
        <v>1</v>
      </c>
      <c r="O376" t="s">
        <v>22</v>
      </c>
      <c r="P376">
        <f t="shared" si="51"/>
        <v>0.3571428571428571</v>
      </c>
      <c r="Q376">
        <f t="shared" si="52"/>
        <v>0.5</v>
      </c>
      <c r="R376">
        <f t="shared" si="53"/>
        <v>0.41428571428571426</v>
      </c>
    </row>
    <row r="377" spans="1:18">
      <c r="A377" t="s">
        <v>409</v>
      </c>
      <c r="B377" t="s">
        <v>56</v>
      </c>
      <c r="C377" t="str">
        <f t="shared" si="45"/>
        <v>IT &amp; Systems</v>
      </c>
      <c r="D377" t="s">
        <v>20</v>
      </c>
      <c r="E377" t="str">
        <f t="shared" si="46"/>
        <v>Dataverse</v>
      </c>
      <c r="F377">
        <v>8</v>
      </c>
      <c r="G377">
        <v>35000</v>
      </c>
      <c r="H377" s="1">
        <v>39739</v>
      </c>
      <c r="I377">
        <v>3</v>
      </c>
      <c r="J377" t="s">
        <v>57</v>
      </c>
      <c r="K377">
        <f t="shared" si="47"/>
        <v>2</v>
      </c>
      <c r="L377">
        <f t="shared" si="48"/>
        <v>5.7142857142857142E-5</v>
      </c>
      <c r="M377" t="b">
        <f t="shared" si="49"/>
        <v>0</v>
      </c>
      <c r="N377" t="b">
        <f t="shared" si="50"/>
        <v>1</v>
      </c>
      <c r="O377" t="s">
        <v>22</v>
      </c>
      <c r="P377">
        <f t="shared" si="51"/>
        <v>0.3571428571428571</v>
      </c>
      <c r="Q377">
        <f t="shared" si="52"/>
        <v>0.5</v>
      </c>
      <c r="R377">
        <f t="shared" si="53"/>
        <v>0.41428571428571426</v>
      </c>
    </row>
    <row r="378" spans="1:18">
      <c r="A378" t="s">
        <v>410</v>
      </c>
      <c r="B378" t="s">
        <v>60</v>
      </c>
      <c r="C378" t="str">
        <f t="shared" si="45"/>
        <v>Manufacturing and operations</v>
      </c>
      <c r="D378" t="s">
        <v>27</v>
      </c>
      <c r="E378" t="str">
        <f t="shared" si="46"/>
        <v>Technova</v>
      </c>
      <c r="F378">
        <v>3</v>
      </c>
      <c r="G378">
        <v>35000</v>
      </c>
      <c r="H378" s="1">
        <v>39265</v>
      </c>
      <c r="I378">
        <v>3</v>
      </c>
      <c r="J378" t="s">
        <v>57</v>
      </c>
      <c r="K378">
        <f t="shared" si="47"/>
        <v>2</v>
      </c>
      <c r="L378">
        <f t="shared" si="48"/>
        <v>5.7142857142857142E-5</v>
      </c>
      <c r="M378" t="b">
        <f t="shared" si="49"/>
        <v>0</v>
      </c>
      <c r="N378" t="b">
        <f t="shared" si="50"/>
        <v>0</v>
      </c>
      <c r="O378" t="s">
        <v>22</v>
      </c>
      <c r="P378">
        <f t="shared" si="51"/>
        <v>0.3571428571428571</v>
      </c>
      <c r="Q378">
        <f t="shared" si="52"/>
        <v>0.5</v>
      </c>
      <c r="R378">
        <f t="shared" si="53"/>
        <v>0.41428571428571426</v>
      </c>
    </row>
    <row r="379" spans="1:18">
      <c r="A379" t="s">
        <v>411</v>
      </c>
      <c r="B379" t="s">
        <v>60</v>
      </c>
      <c r="C379" t="str">
        <f t="shared" si="45"/>
        <v>Manufacturing and operations</v>
      </c>
      <c r="D379" t="s">
        <v>20</v>
      </c>
      <c r="E379" t="str">
        <f t="shared" si="46"/>
        <v>Dataverse</v>
      </c>
      <c r="F379">
        <v>6</v>
      </c>
      <c r="G379">
        <v>35000</v>
      </c>
      <c r="H379" s="1">
        <v>41426</v>
      </c>
      <c r="I379">
        <v>3</v>
      </c>
      <c r="J379" t="s">
        <v>57</v>
      </c>
      <c r="K379">
        <f t="shared" si="47"/>
        <v>2</v>
      </c>
      <c r="L379">
        <f t="shared" si="48"/>
        <v>5.7142857142857142E-5</v>
      </c>
      <c r="M379" t="b">
        <f t="shared" si="49"/>
        <v>0</v>
      </c>
      <c r="N379" t="b">
        <f t="shared" si="50"/>
        <v>1</v>
      </c>
      <c r="O379" t="s">
        <v>22</v>
      </c>
      <c r="P379">
        <f t="shared" si="51"/>
        <v>0.3571428571428571</v>
      </c>
      <c r="Q379">
        <f t="shared" si="52"/>
        <v>0.5</v>
      </c>
      <c r="R379">
        <f t="shared" si="53"/>
        <v>0.41428571428571426</v>
      </c>
    </row>
    <row r="380" spans="1:18">
      <c r="A380" t="s">
        <v>412</v>
      </c>
      <c r="B380" t="s">
        <v>67</v>
      </c>
      <c r="C380" t="str">
        <f t="shared" si="45"/>
        <v>Quality Assurance</v>
      </c>
      <c r="D380" t="s">
        <v>27</v>
      </c>
      <c r="E380" t="str">
        <f t="shared" si="46"/>
        <v>Technova</v>
      </c>
      <c r="F380">
        <v>20</v>
      </c>
      <c r="G380">
        <v>35000</v>
      </c>
      <c r="H380" s="1">
        <v>43920</v>
      </c>
      <c r="I380">
        <v>3</v>
      </c>
      <c r="J380" t="s">
        <v>57</v>
      </c>
      <c r="K380">
        <f t="shared" si="47"/>
        <v>2</v>
      </c>
      <c r="L380">
        <f t="shared" si="48"/>
        <v>5.7142857142857142E-5</v>
      </c>
      <c r="M380" t="b">
        <f t="shared" si="49"/>
        <v>1</v>
      </c>
      <c r="N380" t="b">
        <f t="shared" si="50"/>
        <v>1</v>
      </c>
      <c r="O380" t="s">
        <v>22</v>
      </c>
      <c r="P380">
        <f t="shared" si="51"/>
        <v>0.3571428571428571</v>
      </c>
      <c r="Q380">
        <f t="shared" si="52"/>
        <v>0.5</v>
      </c>
      <c r="R380">
        <f t="shared" si="53"/>
        <v>0.41428571428571426</v>
      </c>
    </row>
    <row r="381" spans="1:18">
      <c r="A381" t="s">
        <v>413</v>
      </c>
      <c r="B381" t="s">
        <v>70</v>
      </c>
      <c r="C381" t="str">
        <f t="shared" si="45"/>
        <v>Customer Experience</v>
      </c>
      <c r="D381" t="s">
        <v>27</v>
      </c>
      <c r="E381" t="str">
        <f t="shared" si="46"/>
        <v>Technova</v>
      </c>
      <c r="F381">
        <v>14</v>
      </c>
      <c r="G381">
        <v>86000</v>
      </c>
      <c r="H381" s="1">
        <v>44507</v>
      </c>
      <c r="I381">
        <v>5</v>
      </c>
      <c r="J381" t="s">
        <v>174</v>
      </c>
      <c r="K381">
        <f t="shared" si="47"/>
        <v>3</v>
      </c>
      <c r="L381">
        <f t="shared" si="48"/>
        <v>3.4883720930232556E-5</v>
      </c>
      <c r="M381" t="b">
        <f t="shared" si="49"/>
        <v>0</v>
      </c>
      <c r="N381" t="b">
        <f t="shared" si="50"/>
        <v>1</v>
      </c>
      <c r="O381" t="s">
        <v>22</v>
      </c>
      <c r="P381">
        <f t="shared" si="51"/>
        <v>2.3255813953488316E-2</v>
      </c>
      <c r="Q381">
        <f t="shared" si="52"/>
        <v>1</v>
      </c>
      <c r="R381">
        <f t="shared" si="53"/>
        <v>0.413953488372093</v>
      </c>
    </row>
    <row r="382" spans="1:18">
      <c r="A382" t="s">
        <v>414</v>
      </c>
      <c r="B382" t="s">
        <v>224</v>
      </c>
      <c r="C382" t="str">
        <f t="shared" si="45"/>
        <v>Business Strategy</v>
      </c>
      <c r="D382" t="s">
        <v>27</v>
      </c>
      <c r="E382" t="str">
        <f t="shared" si="46"/>
        <v>Technova</v>
      </c>
      <c r="F382">
        <v>9</v>
      </c>
      <c r="G382">
        <v>87000</v>
      </c>
      <c r="H382" s="1">
        <v>42882</v>
      </c>
      <c r="I382">
        <v>5</v>
      </c>
      <c r="J382" t="s">
        <v>174</v>
      </c>
      <c r="K382">
        <f t="shared" si="47"/>
        <v>3</v>
      </c>
      <c r="L382">
        <f t="shared" si="48"/>
        <v>3.4482758620689657E-5</v>
      </c>
      <c r="M382" t="b">
        <f t="shared" si="49"/>
        <v>0</v>
      </c>
      <c r="N382" t="b">
        <f t="shared" si="50"/>
        <v>1</v>
      </c>
      <c r="O382" t="s">
        <v>22</v>
      </c>
      <c r="P382">
        <f t="shared" si="51"/>
        <v>1.7241379310344824E-2</v>
      </c>
      <c r="Q382">
        <f t="shared" si="52"/>
        <v>1</v>
      </c>
      <c r="R382">
        <f t="shared" si="53"/>
        <v>0.41034482758620694</v>
      </c>
    </row>
    <row r="383" spans="1:18">
      <c r="A383" t="s">
        <v>415</v>
      </c>
      <c r="B383" t="s">
        <v>19</v>
      </c>
      <c r="C383" t="str">
        <f t="shared" si="45"/>
        <v>Research &amp; Department</v>
      </c>
      <c r="D383" t="s">
        <v>27</v>
      </c>
      <c r="E383" t="str">
        <f t="shared" si="46"/>
        <v>Technova</v>
      </c>
      <c r="F383">
        <v>2</v>
      </c>
      <c r="G383">
        <v>29000</v>
      </c>
      <c r="H383" s="1">
        <v>42094</v>
      </c>
      <c r="I383">
        <v>5</v>
      </c>
      <c r="J383" t="s">
        <v>21</v>
      </c>
      <c r="K383">
        <f t="shared" si="47"/>
        <v>1</v>
      </c>
      <c r="L383">
        <f t="shared" si="48"/>
        <v>3.4482758620689657E-5</v>
      </c>
      <c r="M383" t="b">
        <f t="shared" si="49"/>
        <v>0</v>
      </c>
      <c r="N383" t="b">
        <f t="shared" si="50"/>
        <v>0</v>
      </c>
      <c r="O383" t="s">
        <v>22</v>
      </c>
      <c r="P383">
        <f t="shared" si="51"/>
        <v>1.7241379310344824E-2</v>
      </c>
      <c r="Q383">
        <f t="shared" si="52"/>
        <v>1</v>
      </c>
      <c r="R383">
        <f t="shared" si="53"/>
        <v>0.41034482758620694</v>
      </c>
    </row>
    <row r="384" spans="1:18">
      <c r="A384" t="s">
        <v>416</v>
      </c>
      <c r="B384" t="s">
        <v>70</v>
      </c>
      <c r="C384" t="str">
        <f t="shared" si="45"/>
        <v>Customer Experience</v>
      </c>
      <c r="D384" t="s">
        <v>27</v>
      </c>
      <c r="E384" t="str">
        <f t="shared" si="46"/>
        <v>Technova</v>
      </c>
      <c r="F384">
        <v>14</v>
      </c>
      <c r="G384">
        <v>44000</v>
      </c>
      <c r="H384" s="1">
        <v>44151</v>
      </c>
      <c r="I384">
        <v>4</v>
      </c>
      <c r="J384" t="s">
        <v>57</v>
      </c>
      <c r="K384">
        <f t="shared" si="47"/>
        <v>2</v>
      </c>
      <c r="L384">
        <f t="shared" si="48"/>
        <v>4.5454545454545452E-5</v>
      </c>
      <c r="M384" t="b">
        <f t="shared" si="49"/>
        <v>0</v>
      </c>
      <c r="N384" t="b">
        <f t="shared" si="50"/>
        <v>1</v>
      </c>
      <c r="O384" t="s">
        <v>22</v>
      </c>
      <c r="P384">
        <f t="shared" si="51"/>
        <v>0.18181818181818174</v>
      </c>
      <c r="Q384">
        <f t="shared" si="52"/>
        <v>0.75</v>
      </c>
      <c r="R384">
        <f t="shared" si="53"/>
        <v>0.40909090909090906</v>
      </c>
    </row>
    <row r="385" spans="1:18">
      <c r="A385" t="s">
        <v>417</v>
      </c>
      <c r="B385" t="s">
        <v>19</v>
      </c>
      <c r="C385" t="str">
        <f t="shared" si="45"/>
        <v>Research &amp; Department</v>
      </c>
      <c r="D385" t="s">
        <v>27</v>
      </c>
      <c r="E385" t="str">
        <f t="shared" si="46"/>
        <v>Technova</v>
      </c>
      <c r="F385">
        <v>25</v>
      </c>
      <c r="G385">
        <v>22000</v>
      </c>
      <c r="H385" s="1">
        <v>43930</v>
      </c>
      <c r="I385">
        <v>4</v>
      </c>
      <c r="J385" t="s">
        <v>21</v>
      </c>
      <c r="K385">
        <f t="shared" si="47"/>
        <v>1</v>
      </c>
      <c r="L385">
        <f t="shared" si="48"/>
        <v>4.5454545454545452E-5</v>
      </c>
      <c r="M385" t="b">
        <f t="shared" si="49"/>
        <v>1</v>
      </c>
      <c r="N385" t="b">
        <f t="shared" si="50"/>
        <v>1</v>
      </c>
      <c r="O385" t="s">
        <v>22</v>
      </c>
      <c r="P385">
        <f t="shared" si="51"/>
        <v>0.18181818181818174</v>
      </c>
      <c r="Q385">
        <f t="shared" si="52"/>
        <v>0.75</v>
      </c>
      <c r="R385">
        <f t="shared" si="53"/>
        <v>0.40909090909090906</v>
      </c>
    </row>
    <row r="386" spans="1:18">
      <c r="A386" t="s">
        <v>418</v>
      </c>
      <c r="B386" t="s">
        <v>74</v>
      </c>
      <c r="C386" t="str">
        <f t="shared" ref="C386:C449" si="54">TRIM(B386)</f>
        <v>Human Resources</v>
      </c>
      <c r="D386" t="s">
        <v>27</v>
      </c>
      <c r="E386" t="str">
        <f t="shared" ref="E386:E449" si="55">TRIM(D386)</f>
        <v>Technova</v>
      </c>
      <c r="F386">
        <v>13</v>
      </c>
      <c r="G386">
        <v>44000</v>
      </c>
      <c r="H386" s="1">
        <v>42202</v>
      </c>
      <c r="I386">
        <v>4</v>
      </c>
      <c r="J386" t="s">
        <v>57</v>
      </c>
      <c r="K386">
        <f t="shared" ref="K386:K449" si="56">IF(J386="A", 3, IF(J386="B", 2, 1))</f>
        <v>2</v>
      </c>
      <c r="L386">
        <f t="shared" ref="L386:L449" si="57">K386/G386</f>
        <v>4.5454545454545452E-5</v>
      </c>
      <c r="M386" t="b">
        <f t="shared" ref="M386:M449" si="58">IF(F386&gt;15, TRUE, FALSE)</f>
        <v>0</v>
      </c>
      <c r="N386" t="b">
        <f t="shared" ref="N386:N449" si="59">IF(F386&gt;5, TRUE, FALSE)</f>
        <v>1</v>
      </c>
      <c r="O386" t="s">
        <v>22</v>
      </c>
      <c r="P386">
        <f t="shared" ref="P386:P449" si="60">(L386-MIN(L:L))/(MAX(L:L)-MIN(L:L))</f>
        <v>0.18181818181818174</v>
      </c>
      <c r="Q386">
        <f t="shared" ref="Q386:Q449" si="61">(I386-1)/4</f>
        <v>0.75</v>
      </c>
      <c r="R386">
        <f t="shared" ref="R386:R449" si="62">(0.6*P386)+(0.4*Q386)</f>
        <v>0.40909090909090906</v>
      </c>
    </row>
    <row r="387" spans="1:18">
      <c r="A387" t="s">
        <v>419</v>
      </c>
      <c r="B387" t="s">
        <v>224</v>
      </c>
      <c r="C387" t="str">
        <f t="shared" si="54"/>
        <v>Business Strategy</v>
      </c>
      <c r="D387" t="s">
        <v>20</v>
      </c>
      <c r="E387" t="str">
        <f t="shared" si="55"/>
        <v>Dataverse</v>
      </c>
      <c r="F387">
        <v>12</v>
      </c>
      <c r="G387">
        <v>66000</v>
      </c>
      <c r="H387" s="1">
        <v>40599</v>
      </c>
      <c r="I387">
        <v>4</v>
      </c>
      <c r="J387" t="s">
        <v>174</v>
      </c>
      <c r="K387">
        <f t="shared" si="56"/>
        <v>3</v>
      </c>
      <c r="L387">
        <f t="shared" si="57"/>
        <v>4.5454545454545452E-5</v>
      </c>
      <c r="M387" t="b">
        <f t="shared" si="58"/>
        <v>0</v>
      </c>
      <c r="N387" t="b">
        <f t="shared" si="59"/>
        <v>1</v>
      </c>
      <c r="O387" t="s">
        <v>22</v>
      </c>
      <c r="P387">
        <f t="shared" si="60"/>
        <v>0.18181818181818174</v>
      </c>
      <c r="Q387">
        <f t="shared" si="61"/>
        <v>0.75</v>
      </c>
      <c r="R387">
        <f t="shared" si="62"/>
        <v>0.40909090909090906</v>
      </c>
    </row>
    <row r="388" spans="1:18">
      <c r="A388" t="s">
        <v>420</v>
      </c>
      <c r="B388" t="s">
        <v>224</v>
      </c>
      <c r="C388" t="str">
        <f t="shared" si="54"/>
        <v>Business Strategy</v>
      </c>
      <c r="D388" t="s">
        <v>27</v>
      </c>
      <c r="E388" t="str">
        <f t="shared" si="55"/>
        <v>Technova</v>
      </c>
      <c r="F388">
        <v>4</v>
      </c>
      <c r="G388">
        <v>66000</v>
      </c>
      <c r="H388" s="1">
        <v>42382</v>
      </c>
      <c r="I388">
        <v>4</v>
      </c>
      <c r="J388" t="s">
        <v>174</v>
      </c>
      <c r="K388">
        <f t="shared" si="56"/>
        <v>3</v>
      </c>
      <c r="L388">
        <f t="shared" si="57"/>
        <v>4.5454545454545452E-5</v>
      </c>
      <c r="M388" t="b">
        <f t="shared" si="58"/>
        <v>0</v>
      </c>
      <c r="N388" t="b">
        <f t="shared" si="59"/>
        <v>0</v>
      </c>
      <c r="O388" t="s">
        <v>22</v>
      </c>
      <c r="P388">
        <f t="shared" si="60"/>
        <v>0.18181818181818174</v>
      </c>
      <c r="Q388">
        <f t="shared" si="61"/>
        <v>0.75</v>
      </c>
      <c r="R388">
        <f t="shared" si="62"/>
        <v>0.40909090909090906</v>
      </c>
    </row>
    <row r="389" spans="1:18">
      <c r="A389" t="s">
        <v>421</v>
      </c>
      <c r="B389" t="s">
        <v>56</v>
      </c>
      <c r="C389" t="str">
        <f t="shared" si="54"/>
        <v>IT &amp; Systems</v>
      </c>
      <c r="D389" t="s">
        <v>20</v>
      </c>
      <c r="E389" t="str">
        <f t="shared" si="55"/>
        <v>Dataverse</v>
      </c>
      <c r="F389">
        <v>19</v>
      </c>
      <c r="G389">
        <v>44000</v>
      </c>
      <c r="H389" s="1">
        <v>44239</v>
      </c>
      <c r="I389">
        <v>4</v>
      </c>
      <c r="J389" t="s">
        <v>57</v>
      </c>
      <c r="K389">
        <f t="shared" si="56"/>
        <v>2</v>
      </c>
      <c r="L389">
        <f t="shared" si="57"/>
        <v>4.5454545454545452E-5</v>
      </c>
      <c r="M389" t="b">
        <f t="shared" si="58"/>
        <v>1</v>
      </c>
      <c r="N389" t="b">
        <f t="shared" si="59"/>
        <v>1</v>
      </c>
      <c r="O389" t="s">
        <v>22</v>
      </c>
      <c r="P389">
        <f t="shared" si="60"/>
        <v>0.18181818181818174</v>
      </c>
      <c r="Q389">
        <f t="shared" si="61"/>
        <v>0.75</v>
      </c>
      <c r="R389">
        <f t="shared" si="62"/>
        <v>0.40909090909090906</v>
      </c>
    </row>
    <row r="390" spans="1:18">
      <c r="A390" t="s">
        <v>422</v>
      </c>
      <c r="B390" t="s">
        <v>56</v>
      </c>
      <c r="C390" t="str">
        <f t="shared" si="54"/>
        <v>IT &amp; Systems</v>
      </c>
      <c r="D390" t="s">
        <v>27</v>
      </c>
      <c r="E390" t="str">
        <f t="shared" si="55"/>
        <v>Technova</v>
      </c>
      <c r="F390">
        <v>17</v>
      </c>
      <c r="G390">
        <v>44000</v>
      </c>
      <c r="H390" s="1">
        <v>42792</v>
      </c>
      <c r="I390">
        <v>4</v>
      </c>
      <c r="J390" t="s">
        <v>57</v>
      </c>
      <c r="K390">
        <f t="shared" si="56"/>
        <v>2</v>
      </c>
      <c r="L390">
        <f t="shared" si="57"/>
        <v>4.5454545454545452E-5</v>
      </c>
      <c r="M390" t="b">
        <f t="shared" si="58"/>
        <v>1</v>
      </c>
      <c r="N390" t="b">
        <f t="shared" si="59"/>
        <v>1</v>
      </c>
      <c r="O390" t="s">
        <v>22</v>
      </c>
      <c r="P390">
        <f t="shared" si="60"/>
        <v>0.18181818181818174</v>
      </c>
      <c r="Q390">
        <f t="shared" si="61"/>
        <v>0.75</v>
      </c>
      <c r="R390">
        <f t="shared" si="62"/>
        <v>0.40909090909090906</v>
      </c>
    </row>
    <row r="391" spans="1:18">
      <c r="A391" t="s">
        <v>423</v>
      </c>
      <c r="B391" t="s">
        <v>60</v>
      </c>
      <c r="C391" t="str">
        <f t="shared" si="54"/>
        <v>Manufacturing and operations</v>
      </c>
      <c r="D391" t="s">
        <v>20</v>
      </c>
      <c r="E391" t="str">
        <f t="shared" si="55"/>
        <v>Dataverse</v>
      </c>
      <c r="F391">
        <v>23</v>
      </c>
      <c r="G391">
        <v>44000</v>
      </c>
      <c r="H391" s="1">
        <v>39210</v>
      </c>
      <c r="I391">
        <v>4</v>
      </c>
      <c r="J391" t="s">
        <v>57</v>
      </c>
      <c r="K391">
        <f t="shared" si="56"/>
        <v>2</v>
      </c>
      <c r="L391">
        <f t="shared" si="57"/>
        <v>4.5454545454545452E-5</v>
      </c>
      <c r="M391" t="b">
        <f t="shared" si="58"/>
        <v>1</v>
      </c>
      <c r="N391" t="b">
        <f t="shared" si="59"/>
        <v>1</v>
      </c>
      <c r="O391" t="s">
        <v>22</v>
      </c>
      <c r="P391">
        <f t="shared" si="60"/>
        <v>0.18181818181818174</v>
      </c>
      <c r="Q391">
        <f t="shared" si="61"/>
        <v>0.75</v>
      </c>
      <c r="R391">
        <f t="shared" si="62"/>
        <v>0.40909090909090906</v>
      </c>
    </row>
    <row r="392" spans="1:18">
      <c r="A392" t="s">
        <v>424</v>
      </c>
      <c r="B392" t="s">
        <v>60</v>
      </c>
      <c r="C392" t="str">
        <f t="shared" si="54"/>
        <v>Manufacturing and operations</v>
      </c>
      <c r="D392" t="s">
        <v>27</v>
      </c>
      <c r="E392" t="str">
        <f t="shared" si="55"/>
        <v>Technova</v>
      </c>
      <c r="F392">
        <v>18</v>
      </c>
      <c r="G392">
        <v>44000</v>
      </c>
      <c r="H392" s="1">
        <v>40937</v>
      </c>
      <c r="I392">
        <v>4</v>
      </c>
      <c r="J392" t="s">
        <v>57</v>
      </c>
      <c r="K392">
        <f t="shared" si="56"/>
        <v>2</v>
      </c>
      <c r="L392">
        <f t="shared" si="57"/>
        <v>4.5454545454545452E-5</v>
      </c>
      <c r="M392" t="b">
        <f t="shared" si="58"/>
        <v>1</v>
      </c>
      <c r="N392" t="b">
        <f t="shared" si="59"/>
        <v>1</v>
      </c>
      <c r="O392" t="s">
        <v>22</v>
      </c>
      <c r="P392">
        <f t="shared" si="60"/>
        <v>0.18181818181818174</v>
      </c>
      <c r="Q392">
        <f t="shared" si="61"/>
        <v>0.75</v>
      </c>
      <c r="R392">
        <f t="shared" si="62"/>
        <v>0.40909090909090906</v>
      </c>
    </row>
    <row r="393" spans="1:18">
      <c r="A393" t="s">
        <v>425</v>
      </c>
      <c r="B393" t="s">
        <v>25</v>
      </c>
      <c r="C393" t="str">
        <f t="shared" si="54"/>
        <v>Sales &amp; Marketing</v>
      </c>
      <c r="D393" t="s">
        <v>27</v>
      </c>
      <c r="E393" t="str">
        <f t="shared" si="55"/>
        <v>Technova</v>
      </c>
      <c r="F393">
        <v>22</v>
      </c>
      <c r="G393">
        <v>22000</v>
      </c>
      <c r="H393" s="1">
        <v>42516</v>
      </c>
      <c r="I393">
        <v>4</v>
      </c>
      <c r="J393" t="s">
        <v>21</v>
      </c>
      <c r="K393">
        <f t="shared" si="56"/>
        <v>1</v>
      </c>
      <c r="L393">
        <f t="shared" si="57"/>
        <v>4.5454545454545452E-5</v>
      </c>
      <c r="M393" t="b">
        <f t="shared" si="58"/>
        <v>1</v>
      </c>
      <c r="N393" t="b">
        <f t="shared" si="59"/>
        <v>1</v>
      </c>
      <c r="O393" t="s">
        <v>22</v>
      </c>
      <c r="P393">
        <f t="shared" si="60"/>
        <v>0.18181818181818174</v>
      </c>
      <c r="Q393">
        <f t="shared" si="61"/>
        <v>0.75</v>
      </c>
      <c r="R393">
        <f t="shared" si="62"/>
        <v>0.40909090909090906</v>
      </c>
    </row>
    <row r="394" spans="1:18">
      <c r="A394" t="s">
        <v>426</v>
      </c>
      <c r="B394" t="s">
        <v>60</v>
      </c>
      <c r="C394" t="str">
        <f t="shared" si="54"/>
        <v>Manufacturing and operations</v>
      </c>
      <c r="D394" t="s">
        <v>20</v>
      </c>
      <c r="E394" t="str">
        <f t="shared" si="55"/>
        <v>Dataverse</v>
      </c>
      <c r="F394">
        <v>19</v>
      </c>
      <c r="G394">
        <v>44000</v>
      </c>
      <c r="H394" s="1">
        <v>42744</v>
      </c>
      <c r="I394">
        <v>4</v>
      </c>
      <c r="J394" t="s">
        <v>57</v>
      </c>
      <c r="K394">
        <f t="shared" si="56"/>
        <v>2</v>
      </c>
      <c r="L394">
        <f t="shared" si="57"/>
        <v>4.5454545454545452E-5</v>
      </c>
      <c r="M394" t="b">
        <f t="shared" si="58"/>
        <v>1</v>
      </c>
      <c r="N394" t="b">
        <f t="shared" si="59"/>
        <v>1</v>
      </c>
      <c r="O394" t="s">
        <v>22</v>
      </c>
      <c r="P394">
        <f t="shared" si="60"/>
        <v>0.18181818181818174</v>
      </c>
      <c r="Q394">
        <f t="shared" si="61"/>
        <v>0.75</v>
      </c>
      <c r="R394">
        <f t="shared" si="62"/>
        <v>0.40909090909090906</v>
      </c>
    </row>
    <row r="395" spans="1:18">
      <c r="A395" t="s">
        <v>427</v>
      </c>
      <c r="B395" t="s">
        <v>25</v>
      </c>
      <c r="C395" t="str">
        <f t="shared" si="54"/>
        <v>Sales &amp; Marketing</v>
      </c>
      <c r="D395" t="s">
        <v>20</v>
      </c>
      <c r="E395" t="str">
        <f t="shared" si="55"/>
        <v>Dataverse</v>
      </c>
      <c r="F395">
        <v>19</v>
      </c>
      <c r="G395">
        <v>22000</v>
      </c>
      <c r="H395" s="1">
        <v>43608</v>
      </c>
      <c r="I395">
        <v>4</v>
      </c>
      <c r="J395" t="s">
        <v>21</v>
      </c>
      <c r="K395">
        <f t="shared" si="56"/>
        <v>1</v>
      </c>
      <c r="L395">
        <f t="shared" si="57"/>
        <v>4.5454545454545452E-5</v>
      </c>
      <c r="M395" t="b">
        <f t="shared" si="58"/>
        <v>1</v>
      </c>
      <c r="N395" t="b">
        <f t="shared" si="59"/>
        <v>1</v>
      </c>
      <c r="O395" t="s">
        <v>22</v>
      </c>
      <c r="P395">
        <f t="shared" si="60"/>
        <v>0.18181818181818174</v>
      </c>
      <c r="Q395">
        <f t="shared" si="61"/>
        <v>0.75</v>
      </c>
      <c r="R395">
        <f t="shared" si="62"/>
        <v>0.40909090909090906</v>
      </c>
    </row>
    <row r="396" spans="1:18">
      <c r="A396" t="s">
        <v>428</v>
      </c>
      <c r="B396" t="s">
        <v>204</v>
      </c>
      <c r="C396" t="str">
        <f t="shared" si="54"/>
        <v>Administrative Services</v>
      </c>
      <c r="D396" t="s">
        <v>27</v>
      </c>
      <c r="E396" t="str">
        <f t="shared" si="55"/>
        <v>Technova</v>
      </c>
      <c r="F396">
        <v>2</v>
      </c>
      <c r="G396">
        <v>67000</v>
      </c>
      <c r="H396" s="1">
        <v>40622</v>
      </c>
      <c r="I396">
        <v>4</v>
      </c>
      <c r="J396" t="s">
        <v>174</v>
      </c>
      <c r="K396">
        <f t="shared" si="56"/>
        <v>3</v>
      </c>
      <c r="L396">
        <f t="shared" si="57"/>
        <v>4.4776119402985078E-5</v>
      </c>
      <c r="M396" t="b">
        <f t="shared" si="58"/>
        <v>0</v>
      </c>
      <c r="N396" t="b">
        <f t="shared" si="59"/>
        <v>0</v>
      </c>
      <c r="O396" t="s">
        <v>22</v>
      </c>
      <c r="P396">
        <f t="shared" si="60"/>
        <v>0.17164179104477614</v>
      </c>
      <c r="Q396">
        <f t="shared" si="61"/>
        <v>0.75</v>
      </c>
      <c r="R396">
        <f t="shared" si="62"/>
        <v>0.40298507462686572</v>
      </c>
    </row>
    <row r="397" spans="1:18">
      <c r="A397" t="s">
        <v>429</v>
      </c>
      <c r="B397" t="s">
        <v>102</v>
      </c>
      <c r="C397" t="str">
        <f t="shared" si="54"/>
        <v>Finance</v>
      </c>
      <c r="D397" t="s">
        <v>20</v>
      </c>
      <c r="E397" t="str">
        <f t="shared" si="55"/>
        <v>Dataverse</v>
      </c>
      <c r="F397">
        <v>15</v>
      </c>
      <c r="G397">
        <v>45000</v>
      </c>
      <c r="H397" s="1">
        <v>45289</v>
      </c>
      <c r="I397">
        <v>4</v>
      </c>
      <c r="J397" t="s">
        <v>57</v>
      </c>
      <c r="K397">
        <f t="shared" si="56"/>
        <v>2</v>
      </c>
      <c r="L397">
        <f t="shared" si="57"/>
        <v>4.4444444444444447E-5</v>
      </c>
      <c r="M397" t="b">
        <f t="shared" si="58"/>
        <v>0</v>
      </c>
      <c r="N397" t="b">
        <f t="shared" si="59"/>
        <v>1</v>
      </c>
      <c r="O397" t="s">
        <v>22</v>
      </c>
      <c r="P397">
        <f t="shared" si="60"/>
        <v>0.16666666666666666</v>
      </c>
      <c r="Q397">
        <f t="shared" si="61"/>
        <v>0.75</v>
      </c>
      <c r="R397">
        <f t="shared" si="62"/>
        <v>0.4</v>
      </c>
    </row>
    <row r="398" spans="1:18">
      <c r="A398" t="s">
        <v>430</v>
      </c>
      <c r="B398" t="s">
        <v>204</v>
      </c>
      <c r="C398" t="str">
        <f t="shared" si="54"/>
        <v>Administrative Services</v>
      </c>
      <c r="D398" t="s">
        <v>27</v>
      </c>
      <c r="E398" t="str">
        <f t="shared" si="55"/>
        <v>Technova</v>
      </c>
      <c r="F398">
        <v>22</v>
      </c>
      <c r="G398">
        <v>90000</v>
      </c>
      <c r="H398" s="1">
        <v>42275</v>
      </c>
      <c r="I398">
        <v>5</v>
      </c>
      <c r="J398" t="s">
        <v>174</v>
      </c>
      <c r="K398">
        <f t="shared" si="56"/>
        <v>3</v>
      </c>
      <c r="L398">
        <f t="shared" si="57"/>
        <v>3.3333333333333335E-5</v>
      </c>
      <c r="M398" t="b">
        <f t="shared" si="58"/>
        <v>1</v>
      </c>
      <c r="N398" t="b">
        <f t="shared" si="59"/>
        <v>1</v>
      </c>
      <c r="O398" t="s">
        <v>22</v>
      </c>
      <c r="P398">
        <f t="shared" si="60"/>
        <v>0</v>
      </c>
      <c r="Q398">
        <f t="shared" si="61"/>
        <v>1</v>
      </c>
      <c r="R398">
        <f t="shared" si="62"/>
        <v>0.4</v>
      </c>
    </row>
    <row r="399" spans="1:18">
      <c r="A399" t="s">
        <v>431</v>
      </c>
      <c r="B399" t="s">
        <v>102</v>
      </c>
      <c r="C399" t="str">
        <f t="shared" si="54"/>
        <v>Finance</v>
      </c>
      <c r="D399" t="s">
        <v>27</v>
      </c>
      <c r="E399" t="str">
        <f t="shared" si="55"/>
        <v>Technova</v>
      </c>
      <c r="F399">
        <v>24</v>
      </c>
      <c r="G399">
        <v>36000</v>
      </c>
      <c r="H399" s="1">
        <v>42023</v>
      </c>
      <c r="I399">
        <v>3</v>
      </c>
      <c r="J399" t="s">
        <v>57</v>
      </c>
      <c r="K399">
        <f t="shared" si="56"/>
        <v>2</v>
      </c>
      <c r="L399">
        <f t="shared" si="57"/>
        <v>5.5555555555555558E-5</v>
      </c>
      <c r="M399" t="b">
        <f t="shared" si="58"/>
        <v>1</v>
      </c>
      <c r="N399" t="b">
        <f t="shared" si="59"/>
        <v>1</v>
      </c>
      <c r="O399" t="s">
        <v>22</v>
      </c>
      <c r="P399">
        <f t="shared" si="60"/>
        <v>0.33333333333333331</v>
      </c>
      <c r="Q399">
        <f t="shared" si="61"/>
        <v>0.5</v>
      </c>
      <c r="R399">
        <f t="shared" si="62"/>
        <v>0.4</v>
      </c>
    </row>
    <row r="400" spans="1:18">
      <c r="A400" t="s">
        <v>432</v>
      </c>
      <c r="B400" t="s">
        <v>19</v>
      </c>
      <c r="C400" t="str">
        <f t="shared" si="54"/>
        <v>Research &amp; Department</v>
      </c>
      <c r="D400" t="s">
        <v>27</v>
      </c>
      <c r="E400" t="str">
        <f t="shared" si="55"/>
        <v>Technova</v>
      </c>
      <c r="F400">
        <v>17</v>
      </c>
      <c r="G400">
        <v>15000</v>
      </c>
      <c r="H400" s="1">
        <v>43049</v>
      </c>
      <c r="I400">
        <v>2</v>
      </c>
      <c r="J400" t="s">
        <v>21</v>
      </c>
      <c r="K400">
        <f t="shared" si="56"/>
        <v>1</v>
      </c>
      <c r="L400">
        <f t="shared" si="57"/>
        <v>6.666666666666667E-5</v>
      </c>
      <c r="M400" t="b">
        <f t="shared" si="58"/>
        <v>1</v>
      </c>
      <c r="N400" t="b">
        <f t="shared" si="59"/>
        <v>1</v>
      </c>
      <c r="O400" t="s">
        <v>22</v>
      </c>
      <c r="P400">
        <f t="shared" si="60"/>
        <v>0.5</v>
      </c>
      <c r="Q400">
        <f t="shared" si="61"/>
        <v>0.25</v>
      </c>
      <c r="R400">
        <f t="shared" si="62"/>
        <v>0.4</v>
      </c>
    </row>
    <row r="401" spans="1:18">
      <c r="A401" t="s">
        <v>433</v>
      </c>
      <c r="B401" t="s">
        <v>19</v>
      </c>
      <c r="C401" t="str">
        <f t="shared" si="54"/>
        <v>Research &amp; Department</v>
      </c>
      <c r="D401" t="s">
        <v>27</v>
      </c>
      <c r="E401" t="str">
        <f t="shared" si="55"/>
        <v>Technova</v>
      </c>
      <c r="F401">
        <v>8</v>
      </c>
      <c r="G401">
        <v>30000</v>
      </c>
      <c r="H401" s="1">
        <v>41958</v>
      </c>
      <c r="I401">
        <v>5</v>
      </c>
      <c r="J401" t="s">
        <v>21</v>
      </c>
      <c r="K401">
        <f t="shared" si="56"/>
        <v>1</v>
      </c>
      <c r="L401">
        <f t="shared" si="57"/>
        <v>3.3333333333333335E-5</v>
      </c>
      <c r="M401" t="b">
        <f t="shared" si="58"/>
        <v>0</v>
      </c>
      <c r="N401" t="b">
        <f t="shared" si="59"/>
        <v>1</v>
      </c>
      <c r="O401" t="s">
        <v>22</v>
      </c>
      <c r="P401">
        <f t="shared" si="60"/>
        <v>0</v>
      </c>
      <c r="Q401">
        <f t="shared" si="61"/>
        <v>1</v>
      </c>
      <c r="R401">
        <f t="shared" si="62"/>
        <v>0.4</v>
      </c>
    </row>
    <row r="402" spans="1:18">
      <c r="A402" t="s">
        <v>434</v>
      </c>
      <c r="B402" t="s">
        <v>56</v>
      </c>
      <c r="C402" t="str">
        <f t="shared" si="54"/>
        <v>IT &amp; Systems</v>
      </c>
      <c r="D402" t="s">
        <v>20</v>
      </c>
      <c r="E402" t="str">
        <f t="shared" si="55"/>
        <v>Dataverse</v>
      </c>
      <c r="F402">
        <v>6</v>
      </c>
      <c r="G402">
        <v>36000</v>
      </c>
      <c r="H402" s="1">
        <v>40067</v>
      </c>
      <c r="I402">
        <v>3</v>
      </c>
      <c r="J402" t="s">
        <v>57</v>
      </c>
      <c r="K402">
        <f t="shared" si="56"/>
        <v>2</v>
      </c>
      <c r="L402">
        <f t="shared" si="57"/>
        <v>5.5555555555555558E-5</v>
      </c>
      <c r="M402" t="b">
        <f t="shared" si="58"/>
        <v>0</v>
      </c>
      <c r="N402" t="b">
        <f t="shared" si="59"/>
        <v>1</v>
      </c>
      <c r="O402" t="s">
        <v>22</v>
      </c>
      <c r="P402">
        <f t="shared" si="60"/>
        <v>0.33333333333333331</v>
      </c>
      <c r="Q402">
        <f t="shared" si="61"/>
        <v>0.5</v>
      </c>
      <c r="R402">
        <f t="shared" si="62"/>
        <v>0.4</v>
      </c>
    </row>
    <row r="403" spans="1:18">
      <c r="A403" t="s">
        <v>435</v>
      </c>
      <c r="B403" t="s">
        <v>224</v>
      </c>
      <c r="C403" t="str">
        <f t="shared" si="54"/>
        <v>Business Strategy</v>
      </c>
      <c r="D403" t="s">
        <v>20</v>
      </c>
      <c r="E403" t="str">
        <f t="shared" si="55"/>
        <v>Dataverse</v>
      </c>
      <c r="F403">
        <v>19</v>
      </c>
      <c r="G403">
        <v>90000</v>
      </c>
      <c r="H403" s="1">
        <v>39804</v>
      </c>
      <c r="I403">
        <v>5</v>
      </c>
      <c r="J403" t="s">
        <v>174</v>
      </c>
      <c r="K403">
        <f t="shared" si="56"/>
        <v>3</v>
      </c>
      <c r="L403">
        <f t="shared" si="57"/>
        <v>3.3333333333333335E-5</v>
      </c>
      <c r="M403" t="b">
        <f t="shared" si="58"/>
        <v>1</v>
      </c>
      <c r="N403" t="b">
        <f t="shared" si="59"/>
        <v>1</v>
      </c>
      <c r="O403" t="s">
        <v>22</v>
      </c>
      <c r="P403">
        <f t="shared" si="60"/>
        <v>0</v>
      </c>
      <c r="Q403">
        <f t="shared" si="61"/>
        <v>1</v>
      </c>
      <c r="R403">
        <f t="shared" si="62"/>
        <v>0.4</v>
      </c>
    </row>
    <row r="404" spans="1:18">
      <c r="A404" t="s">
        <v>436</v>
      </c>
      <c r="B404" t="s">
        <v>56</v>
      </c>
      <c r="C404" t="str">
        <f t="shared" si="54"/>
        <v>IT &amp; Systems</v>
      </c>
      <c r="D404" t="s">
        <v>27</v>
      </c>
      <c r="E404" t="str">
        <f t="shared" si="55"/>
        <v>Technova</v>
      </c>
      <c r="F404">
        <v>17</v>
      </c>
      <c r="G404">
        <v>36000</v>
      </c>
      <c r="H404" s="1">
        <v>40530</v>
      </c>
      <c r="I404">
        <v>3</v>
      </c>
      <c r="J404" t="s">
        <v>57</v>
      </c>
      <c r="K404">
        <f t="shared" si="56"/>
        <v>2</v>
      </c>
      <c r="L404">
        <f t="shared" si="57"/>
        <v>5.5555555555555558E-5</v>
      </c>
      <c r="M404" t="b">
        <f t="shared" si="58"/>
        <v>1</v>
      </c>
      <c r="N404" t="b">
        <f t="shared" si="59"/>
        <v>1</v>
      </c>
      <c r="O404" t="s">
        <v>22</v>
      </c>
      <c r="P404">
        <f t="shared" si="60"/>
        <v>0.33333333333333331</v>
      </c>
      <c r="Q404">
        <f t="shared" si="61"/>
        <v>0.5</v>
      </c>
      <c r="R404">
        <f t="shared" si="62"/>
        <v>0.4</v>
      </c>
    </row>
    <row r="405" spans="1:18">
      <c r="A405" t="s">
        <v>437</v>
      </c>
      <c r="B405" t="s">
        <v>60</v>
      </c>
      <c r="C405" t="str">
        <f t="shared" si="54"/>
        <v>Manufacturing and operations</v>
      </c>
      <c r="D405" t="s">
        <v>20</v>
      </c>
      <c r="E405" t="str">
        <f t="shared" si="55"/>
        <v>Dataverse</v>
      </c>
      <c r="F405">
        <v>14</v>
      </c>
      <c r="G405">
        <v>36000</v>
      </c>
      <c r="H405" s="1">
        <v>41761</v>
      </c>
      <c r="I405">
        <v>3</v>
      </c>
      <c r="J405" t="s">
        <v>57</v>
      </c>
      <c r="K405">
        <f t="shared" si="56"/>
        <v>2</v>
      </c>
      <c r="L405">
        <f t="shared" si="57"/>
        <v>5.5555555555555558E-5</v>
      </c>
      <c r="M405" t="b">
        <f t="shared" si="58"/>
        <v>0</v>
      </c>
      <c r="N405" t="b">
        <f t="shared" si="59"/>
        <v>1</v>
      </c>
      <c r="O405" t="s">
        <v>22</v>
      </c>
      <c r="P405">
        <f t="shared" si="60"/>
        <v>0.33333333333333331</v>
      </c>
      <c r="Q405">
        <f t="shared" si="61"/>
        <v>0.5</v>
      </c>
      <c r="R405">
        <f t="shared" si="62"/>
        <v>0.4</v>
      </c>
    </row>
    <row r="406" spans="1:18">
      <c r="A406" t="s">
        <v>438</v>
      </c>
      <c r="B406" t="s">
        <v>25</v>
      </c>
      <c r="C406" t="str">
        <f t="shared" si="54"/>
        <v>Sales &amp; Marketing</v>
      </c>
      <c r="D406" t="s">
        <v>20</v>
      </c>
      <c r="E406" t="str">
        <f t="shared" si="55"/>
        <v>Dataverse</v>
      </c>
      <c r="F406">
        <v>15</v>
      </c>
      <c r="G406">
        <v>30000</v>
      </c>
      <c r="H406" s="1">
        <v>39256</v>
      </c>
      <c r="I406">
        <v>5</v>
      </c>
      <c r="J406" t="s">
        <v>21</v>
      </c>
      <c r="K406">
        <f t="shared" si="56"/>
        <v>1</v>
      </c>
      <c r="L406">
        <f t="shared" si="57"/>
        <v>3.3333333333333335E-5</v>
      </c>
      <c r="M406" t="b">
        <f t="shared" si="58"/>
        <v>0</v>
      </c>
      <c r="N406" t="b">
        <f t="shared" si="59"/>
        <v>1</v>
      </c>
      <c r="O406" t="s">
        <v>22</v>
      </c>
      <c r="P406">
        <f t="shared" si="60"/>
        <v>0</v>
      </c>
      <c r="Q406">
        <f t="shared" si="61"/>
        <v>1</v>
      </c>
      <c r="R406">
        <f t="shared" si="62"/>
        <v>0.4</v>
      </c>
    </row>
    <row r="407" spans="1:18">
      <c r="A407" t="s">
        <v>439</v>
      </c>
      <c r="B407" t="s">
        <v>25</v>
      </c>
      <c r="C407" t="str">
        <f t="shared" si="54"/>
        <v>Sales &amp; Marketing</v>
      </c>
      <c r="D407" t="s">
        <v>20</v>
      </c>
      <c r="E407" t="str">
        <f t="shared" si="55"/>
        <v>Dataverse</v>
      </c>
      <c r="F407">
        <v>12</v>
      </c>
      <c r="G407">
        <v>18000</v>
      </c>
      <c r="H407" s="1">
        <v>38731</v>
      </c>
      <c r="I407">
        <v>3</v>
      </c>
      <c r="J407" t="s">
        <v>21</v>
      </c>
      <c r="K407">
        <f t="shared" si="56"/>
        <v>1</v>
      </c>
      <c r="L407">
        <f t="shared" si="57"/>
        <v>5.5555555555555558E-5</v>
      </c>
      <c r="M407" t="b">
        <f t="shared" si="58"/>
        <v>0</v>
      </c>
      <c r="N407" t="b">
        <f t="shared" si="59"/>
        <v>1</v>
      </c>
      <c r="O407" t="s">
        <v>22</v>
      </c>
      <c r="P407">
        <f t="shared" si="60"/>
        <v>0.33333333333333331</v>
      </c>
      <c r="Q407">
        <f t="shared" si="61"/>
        <v>0.5</v>
      </c>
      <c r="R407">
        <f t="shared" si="62"/>
        <v>0.4</v>
      </c>
    </row>
    <row r="408" spans="1:18">
      <c r="A408" t="s">
        <v>440</v>
      </c>
      <c r="B408" t="s">
        <v>70</v>
      </c>
      <c r="C408" t="str">
        <f t="shared" si="54"/>
        <v>Customer Experience</v>
      </c>
      <c r="D408" t="s">
        <v>27</v>
      </c>
      <c r="E408" t="str">
        <f t="shared" si="55"/>
        <v>Technova</v>
      </c>
      <c r="F408">
        <v>15</v>
      </c>
      <c r="G408">
        <v>90000</v>
      </c>
      <c r="H408" s="1">
        <v>42114</v>
      </c>
      <c r="I408">
        <v>5</v>
      </c>
      <c r="J408" t="s">
        <v>174</v>
      </c>
      <c r="K408">
        <f t="shared" si="56"/>
        <v>3</v>
      </c>
      <c r="L408">
        <f t="shared" si="57"/>
        <v>3.3333333333333335E-5</v>
      </c>
      <c r="M408" t="b">
        <f t="shared" si="58"/>
        <v>0</v>
      </c>
      <c r="N408" t="b">
        <f t="shared" si="59"/>
        <v>1</v>
      </c>
      <c r="O408" t="s">
        <v>22</v>
      </c>
      <c r="P408">
        <f t="shared" si="60"/>
        <v>0</v>
      </c>
      <c r="Q408">
        <f t="shared" si="61"/>
        <v>1</v>
      </c>
      <c r="R408">
        <f t="shared" si="62"/>
        <v>0.4</v>
      </c>
    </row>
    <row r="409" spans="1:18">
      <c r="A409" t="s">
        <v>441</v>
      </c>
      <c r="B409" t="s">
        <v>60</v>
      </c>
      <c r="C409" t="str">
        <f t="shared" si="54"/>
        <v>Manufacturing and operations</v>
      </c>
      <c r="D409" t="s">
        <v>27</v>
      </c>
      <c r="E409" t="str">
        <f t="shared" si="55"/>
        <v>Technova</v>
      </c>
      <c r="F409">
        <v>9</v>
      </c>
      <c r="G409">
        <v>45000</v>
      </c>
      <c r="H409" s="1">
        <v>44877</v>
      </c>
      <c r="I409">
        <v>4</v>
      </c>
      <c r="J409" t="s">
        <v>57</v>
      </c>
      <c r="K409">
        <f t="shared" si="56"/>
        <v>2</v>
      </c>
      <c r="L409">
        <f t="shared" si="57"/>
        <v>4.4444444444444447E-5</v>
      </c>
      <c r="M409" t="b">
        <f t="shared" si="58"/>
        <v>0</v>
      </c>
      <c r="N409" t="b">
        <f t="shared" si="59"/>
        <v>1</v>
      </c>
      <c r="O409" t="s">
        <v>22</v>
      </c>
      <c r="P409">
        <f t="shared" si="60"/>
        <v>0.16666666666666666</v>
      </c>
      <c r="Q409">
        <f t="shared" si="61"/>
        <v>0.75</v>
      </c>
      <c r="R409">
        <f t="shared" si="62"/>
        <v>0.4</v>
      </c>
    </row>
    <row r="410" spans="1:18">
      <c r="A410" t="s">
        <v>442</v>
      </c>
      <c r="B410" t="s">
        <v>25</v>
      </c>
      <c r="C410" t="str">
        <f t="shared" si="54"/>
        <v>Sales &amp; Marketing</v>
      </c>
      <c r="D410" t="s">
        <v>27</v>
      </c>
      <c r="E410" t="str">
        <f t="shared" si="55"/>
        <v>Technova</v>
      </c>
      <c r="F410">
        <v>14</v>
      </c>
      <c r="G410">
        <v>30000</v>
      </c>
      <c r="H410" s="1">
        <v>43963</v>
      </c>
      <c r="I410">
        <v>5</v>
      </c>
      <c r="J410" t="s">
        <v>21</v>
      </c>
      <c r="K410">
        <f t="shared" si="56"/>
        <v>1</v>
      </c>
      <c r="L410">
        <f t="shared" si="57"/>
        <v>3.3333333333333335E-5</v>
      </c>
      <c r="M410" t="b">
        <f t="shared" si="58"/>
        <v>0</v>
      </c>
      <c r="N410" t="b">
        <f t="shared" si="59"/>
        <v>1</v>
      </c>
      <c r="O410" t="s">
        <v>22</v>
      </c>
      <c r="P410">
        <f t="shared" si="60"/>
        <v>0</v>
      </c>
      <c r="Q410">
        <f t="shared" si="61"/>
        <v>1</v>
      </c>
      <c r="R410">
        <f t="shared" si="62"/>
        <v>0.4</v>
      </c>
    </row>
    <row r="411" spans="1:18">
      <c r="A411" t="s">
        <v>443</v>
      </c>
      <c r="B411" t="s">
        <v>60</v>
      </c>
      <c r="C411" t="str">
        <f t="shared" si="54"/>
        <v>Manufacturing and operations</v>
      </c>
      <c r="D411" t="s">
        <v>20</v>
      </c>
      <c r="E411" t="str">
        <f t="shared" si="55"/>
        <v>Dataverse</v>
      </c>
      <c r="F411">
        <v>21</v>
      </c>
      <c r="G411">
        <v>36000</v>
      </c>
      <c r="H411" s="1">
        <v>40961</v>
      </c>
      <c r="I411">
        <v>3</v>
      </c>
      <c r="J411" t="s">
        <v>57</v>
      </c>
      <c r="K411">
        <f t="shared" si="56"/>
        <v>2</v>
      </c>
      <c r="L411">
        <f t="shared" si="57"/>
        <v>5.5555555555555558E-5</v>
      </c>
      <c r="M411" t="b">
        <f t="shared" si="58"/>
        <v>1</v>
      </c>
      <c r="N411" t="b">
        <f t="shared" si="59"/>
        <v>1</v>
      </c>
      <c r="O411" t="s">
        <v>22</v>
      </c>
      <c r="P411">
        <f t="shared" si="60"/>
        <v>0.33333333333333331</v>
      </c>
      <c r="Q411">
        <f t="shared" si="61"/>
        <v>0.5</v>
      </c>
      <c r="R411">
        <f t="shared" si="62"/>
        <v>0.4</v>
      </c>
    </row>
    <row r="412" spans="1:18">
      <c r="A412" t="s">
        <v>444</v>
      </c>
      <c r="B412" t="s">
        <v>70</v>
      </c>
      <c r="C412" t="str">
        <f t="shared" si="54"/>
        <v>Customer Experience</v>
      </c>
      <c r="D412" t="s">
        <v>20</v>
      </c>
      <c r="E412" t="str">
        <f t="shared" si="55"/>
        <v>Dataverse</v>
      </c>
      <c r="F412">
        <v>12</v>
      </c>
      <c r="G412">
        <v>90000</v>
      </c>
      <c r="H412" s="1">
        <v>41690</v>
      </c>
      <c r="I412">
        <v>5</v>
      </c>
      <c r="J412" t="s">
        <v>174</v>
      </c>
      <c r="K412">
        <f t="shared" si="56"/>
        <v>3</v>
      </c>
      <c r="L412">
        <f t="shared" si="57"/>
        <v>3.3333333333333335E-5</v>
      </c>
      <c r="M412" t="b">
        <f t="shared" si="58"/>
        <v>0</v>
      </c>
      <c r="N412" t="b">
        <f t="shared" si="59"/>
        <v>1</v>
      </c>
      <c r="O412" t="s">
        <v>22</v>
      </c>
      <c r="P412">
        <f t="shared" si="60"/>
        <v>0</v>
      </c>
      <c r="Q412">
        <f t="shared" si="61"/>
        <v>1</v>
      </c>
      <c r="R412">
        <f t="shared" si="62"/>
        <v>0.4</v>
      </c>
    </row>
    <row r="413" spans="1:18">
      <c r="A413" t="s">
        <v>445</v>
      </c>
      <c r="B413" t="s">
        <v>67</v>
      </c>
      <c r="C413" t="str">
        <f t="shared" si="54"/>
        <v>Quality Assurance</v>
      </c>
      <c r="D413" t="s">
        <v>20</v>
      </c>
      <c r="E413" t="str">
        <f t="shared" si="55"/>
        <v>Dataverse</v>
      </c>
      <c r="F413">
        <v>15</v>
      </c>
      <c r="G413">
        <v>36000</v>
      </c>
      <c r="H413" s="1">
        <v>40234</v>
      </c>
      <c r="I413">
        <v>3</v>
      </c>
      <c r="J413" t="s">
        <v>57</v>
      </c>
      <c r="K413">
        <f t="shared" si="56"/>
        <v>2</v>
      </c>
      <c r="L413">
        <f t="shared" si="57"/>
        <v>5.5555555555555558E-5</v>
      </c>
      <c r="M413" t="b">
        <f t="shared" si="58"/>
        <v>0</v>
      </c>
      <c r="N413" t="b">
        <f t="shared" si="59"/>
        <v>1</v>
      </c>
      <c r="O413" t="s">
        <v>22</v>
      </c>
      <c r="P413">
        <f t="shared" si="60"/>
        <v>0.33333333333333331</v>
      </c>
      <c r="Q413">
        <f t="shared" si="61"/>
        <v>0.5</v>
      </c>
      <c r="R413">
        <f t="shared" si="62"/>
        <v>0.4</v>
      </c>
    </row>
    <row r="414" spans="1:18">
      <c r="A414" t="s">
        <v>446</v>
      </c>
      <c r="B414" t="s">
        <v>25</v>
      </c>
      <c r="C414" t="str">
        <f t="shared" si="54"/>
        <v>Sales &amp; Marketing</v>
      </c>
      <c r="D414" t="s">
        <v>20</v>
      </c>
      <c r="E414" t="str">
        <f t="shared" si="55"/>
        <v>Dataverse</v>
      </c>
      <c r="F414">
        <v>14</v>
      </c>
      <c r="G414">
        <v>18000</v>
      </c>
      <c r="H414" s="1">
        <v>44151</v>
      </c>
      <c r="I414">
        <v>3</v>
      </c>
      <c r="J414" t="s">
        <v>21</v>
      </c>
      <c r="K414">
        <f t="shared" si="56"/>
        <v>1</v>
      </c>
      <c r="L414">
        <f t="shared" si="57"/>
        <v>5.5555555555555558E-5</v>
      </c>
      <c r="M414" t="b">
        <f t="shared" si="58"/>
        <v>0</v>
      </c>
      <c r="N414" t="b">
        <f t="shared" si="59"/>
        <v>1</v>
      </c>
      <c r="O414" t="s">
        <v>22</v>
      </c>
      <c r="P414">
        <f t="shared" si="60"/>
        <v>0.33333333333333331</v>
      </c>
      <c r="Q414">
        <f t="shared" si="61"/>
        <v>0.5</v>
      </c>
      <c r="R414">
        <f t="shared" si="62"/>
        <v>0.4</v>
      </c>
    </row>
    <row r="415" spans="1:18">
      <c r="A415" t="s">
        <v>447</v>
      </c>
      <c r="B415" t="s">
        <v>25</v>
      </c>
      <c r="C415" t="str">
        <f t="shared" si="54"/>
        <v>Sales &amp; Marketing</v>
      </c>
      <c r="D415" t="s">
        <v>20</v>
      </c>
      <c r="E415" t="str">
        <f t="shared" si="55"/>
        <v>Dataverse</v>
      </c>
      <c r="F415">
        <v>13</v>
      </c>
      <c r="G415">
        <v>30000</v>
      </c>
      <c r="H415" s="1">
        <v>44938</v>
      </c>
      <c r="I415">
        <v>5</v>
      </c>
      <c r="J415" t="s">
        <v>21</v>
      </c>
      <c r="K415">
        <f t="shared" si="56"/>
        <v>1</v>
      </c>
      <c r="L415">
        <f t="shared" si="57"/>
        <v>3.3333333333333335E-5</v>
      </c>
      <c r="M415" t="b">
        <f t="shared" si="58"/>
        <v>0</v>
      </c>
      <c r="N415" t="b">
        <f t="shared" si="59"/>
        <v>1</v>
      </c>
      <c r="O415" t="s">
        <v>22</v>
      </c>
      <c r="P415">
        <f t="shared" si="60"/>
        <v>0</v>
      </c>
      <c r="Q415">
        <f t="shared" si="61"/>
        <v>1</v>
      </c>
      <c r="R415">
        <f t="shared" si="62"/>
        <v>0.4</v>
      </c>
    </row>
    <row r="416" spans="1:18">
      <c r="A416" t="s">
        <v>448</v>
      </c>
      <c r="B416" t="s">
        <v>19</v>
      </c>
      <c r="C416" t="str">
        <f t="shared" si="54"/>
        <v>Research &amp; Department</v>
      </c>
      <c r="D416" t="s">
        <v>27</v>
      </c>
      <c r="E416" t="str">
        <f t="shared" si="55"/>
        <v>Technova</v>
      </c>
      <c r="F416">
        <v>12</v>
      </c>
      <c r="G416">
        <v>13000</v>
      </c>
      <c r="H416" s="1">
        <v>44967</v>
      </c>
      <c r="I416">
        <v>1</v>
      </c>
      <c r="J416" t="s">
        <v>21</v>
      </c>
      <c r="K416">
        <f t="shared" si="56"/>
        <v>1</v>
      </c>
      <c r="L416">
        <f t="shared" si="57"/>
        <v>7.6923076923076926E-5</v>
      </c>
      <c r="M416" t="b">
        <f t="shared" si="58"/>
        <v>0</v>
      </c>
      <c r="N416" t="b">
        <f t="shared" si="59"/>
        <v>1</v>
      </c>
      <c r="O416" t="s">
        <v>22</v>
      </c>
      <c r="P416">
        <f t="shared" si="60"/>
        <v>0.65384615384615385</v>
      </c>
      <c r="Q416">
        <f t="shared" si="61"/>
        <v>0</v>
      </c>
      <c r="R416">
        <f t="shared" si="62"/>
        <v>0.3923076923076923</v>
      </c>
    </row>
    <row r="417" spans="1:18">
      <c r="A417" t="s">
        <v>449</v>
      </c>
      <c r="B417" t="s">
        <v>19</v>
      </c>
      <c r="C417" t="str">
        <f t="shared" si="54"/>
        <v>Research &amp; Department</v>
      </c>
      <c r="D417" t="s">
        <v>27</v>
      </c>
      <c r="E417" t="str">
        <f t="shared" si="55"/>
        <v>Technova</v>
      </c>
      <c r="F417">
        <v>20</v>
      </c>
      <c r="G417">
        <v>13000</v>
      </c>
      <c r="H417" s="1">
        <v>40796</v>
      </c>
      <c r="I417">
        <v>1</v>
      </c>
      <c r="J417" t="s">
        <v>21</v>
      </c>
      <c r="K417">
        <f t="shared" si="56"/>
        <v>1</v>
      </c>
      <c r="L417">
        <f t="shared" si="57"/>
        <v>7.6923076923076926E-5</v>
      </c>
      <c r="M417" t="b">
        <f t="shared" si="58"/>
        <v>1</v>
      </c>
      <c r="N417" t="b">
        <f t="shared" si="59"/>
        <v>1</v>
      </c>
      <c r="O417" t="s">
        <v>22</v>
      </c>
      <c r="P417">
        <f t="shared" si="60"/>
        <v>0.65384615384615385</v>
      </c>
      <c r="Q417">
        <f t="shared" si="61"/>
        <v>0</v>
      </c>
      <c r="R417">
        <f t="shared" si="62"/>
        <v>0.3923076923076923</v>
      </c>
    </row>
    <row r="418" spans="1:18">
      <c r="A418" t="s">
        <v>450</v>
      </c>
      <c r="B418" t="s">
        <v>25</v>
      </c>
      <c r="C418" t="str">
        <f t="shared" si="54"/>
        <v>Sales &amp; Marketing</v>
      </c>
      <c r="D418" t="s">
        <v>20</v>
      </c>
      <c r="E418" t="str">
        <f t="shared" si="55"/>
        <v>Dataverse</v>
      </c>
      <c r="F418">
        <v>4</v>
      </c>
      <c r="G418">
        <v>13000</v>
      </c>
      <c r="H418" s="1">
        <v>44025</v>
      </c>
      <c r="I418">
        <v>1</v>
      </c>
      <c r="J418" t="s">
        <v>21</v>
      </c>
      <c r="K418">
        <f t="shared" si="56"/>
        <v>1</v>
      </c>
      <c r="L418">
        <f t="shared" si="57"/>
        <v>7.6923076923076926E-5</v>
      </c>
      <c r="M418" t="b">
        <f t="shared" si="58"/>
        <v>0</v>
      </c>
      <c r="N418" t="b">
        <f t="shared" si="59"/>
        <v>0</v>
      </c>
      <c r="O418" t="s">
        <v>22</v>
      </c>
      <c r="P418">
        <f t="shared" si="60"/>
        <v>0.65384615384615385</v>
      </c>
      <c r="Q418">
        <f t="shared" si="61"/>
        <v>0</v>
      </c>
      <c r="R418">
        <f t="shared" si="62"/>
        <v>0.3923076923076923</v>
      </c>
    </row>
    <row r="419" spans="1:18">
      <c r="A419" t="s">
        <v>451</v>
      </c>
      <c r="B419" t="s">
        <v>25</v>
      </c>
      <c r="C419" t="str">
        <f t="shared" si="54"/>
        <v>Sales &amp; Marketing</v>
      </c>
      <c r="D419" t="s">
        <v>27</v>
      </c>
      <c r="E419" t="str">
        <f t="shared" si="55"/>
        <v>Technova</v>
      </c>
      <c r="F419">
        <v>22</v>
      </c>
      <c r="G419">
        <v>13000</v>
      </c>
      <c r="H419" s="1">
        <v>39191</v>
      </c>
      <c r="I419">
        <v>1</v>
      </c>
      <c r="J419" t="s">
        <v>21</v>
      </c>
      <c r="K419">
        <f t="shared" si="56"/>
        <v>1</v>
      </c>
      <c r="L419">
        <f t="shared" si="57"/>
        <v>7.6923076923076926E-5</v>
      </c>
      <c r="M419" t="b">
        <f t="shared" si="58"/>
        <v>1</v>
      </c>
      <c r="N419" t="b">
        <f t="shared" si="59"/>
        <v>1</v>
      </c>
      <c r="O419" t="s">
        <v>22</v>
      </c>
      <c r="P419">
        <f t="shared" si="60"/>
        <v>0.65384615384615385</v>
      </c>
      <c r="Q419">
        <f t="shared" si="61"/>
        <v>0</v>
      </c>
      <c r="R419">
        <f t="shared" si="62"/>
        <v>0.3923076923076923</v>
      </c>
    </row>
    <row r="420" spans="1:18">
      <c r="A420" t="s">
        <v>452</v>
      </c>
      <c r="B420" t="s">
        <v>70</v>
      </c>
      <c r="C420" t="str">
        <f t="shared" si="54"/>
        <v>Customer Experience</v>
      </c>
      <c r="D420" t="s">
        <v>27</v>
      </c>
      <c r="E420" t="str">
        <f t="shared" si="55"/>
        <v>Technova</v>
      </c>
      <c r="F420">
        <v>19</v>
      </c>
      <c r="G420">
        <v>46000</v>
      </c>
      <c r="H420" s="1">
        <v>38723</v>
      </c>
      <c r="I420">
        <v>4</v>
      </c>
      <c r="J420" t="s">
        <v>57</v>
      </c>
      <c r="K420">
        <f t="shared" si="56"/>
        <v>2</v>
      </c>
      <c r="L420">
        <f t="shared" si="57"/>
        <v>4.347826086956522E-5</v>
      </c>
      <c r="M420" t="b">
        <f t="shared" si="58"/>
        <v>1</v>
      </c>
      <c r="N420" t="b">
        <f t="shared" si="59"/>
        <v>1</v>
      </c>
      <c r="O420" t="s">
        <v>22</v>
      </c>
      <c r="P420">
        <f t="shared" si="60"/>
        <v>0.15217391304347827</v>
      </c>
      <c r="Q420">
        <f t="shared" si="61"/>
        <v>0.75</v>
      </c>
      <c r="R420">
        <f t="shared" si="62"/>
        <v>0.39130434782608703</v>
      </c>
    </row>
    <row r="421" spans="1:18">
      <c r="A421" t="s">
        <v>453</v>
      </c>
      <c r="B421" t="s">
        <v>102</v>
      </c>
      <c r="C421" t="str">
        <f t="shared" si="54"/>
        <v>Finance</v>
      </c>
      <c r="D421" t="s">
        <v>20</v>
      </c>
      <c r="E421" t="str">
        <f t="shared" si="55"/>
        <v>Dataverse</v>
      </c>
      <c r="F421">
        <v>1</v>
      </c>
      <c r="G421">
        <v>46000</v>
      </c>
      <c r="H421" s="1">
        <v>43069</v>
      </c>
      <c r="I421">
        <v>4</v>
      </c>
      <c r="J421" t="s">
        <v>57</v>
      </c>
      <c r="K421">
        <f t="shared" si="56"/>
        <v>2</v>
      </c>
      <c r="L421">
        <f t="shared" si="57"/>
        <v>4.347826086956522E-5</v>
      </c>
      <c r="M421" t="b">
        <f t="shared" si="58"/>
        <v>0</v>
      </c>
      <c r="N421" t="b">
        <f t="shared" si="59"/>
        <v>0</v>
      </c>
      <c r="O421" t="s">
        <v>22</v>
      </c>
      <c r="P421">
        <f t="shared" si="60"/>
        <v>0.15217391304347827</v>
      </c>
      <c r="Q421">
        <f t="shared" si="61"/>
        <v>0.75</v>
      </c>
      <c r="R421">
        <f t="shared" si="62"/>
        <v>0.39130434782608703</v>
      </c>
    </row>
    <row r="422" spans="1:18">
      <c r="A422" t="s">
        <v>454</v>
      </c>
      <c r="B422" t="s">
        <v>74</v>
      </c>
      <c r="C422" t="str">
        <f t="shared" si="54"/>
        <v>Human Resources</v>
      </c>
      <c r="D422" t="s">
        <v>27</v>
      </c>
      <c r="E422" t="str">
        <f t="shared" si="55"/>
        <v>Technova</v>
      </c>
      <c r="F422">
        <v>13</v>
      </c>
      <c r="G422">
        <v>46000</v>
      </c>
      <c r="H422" s="1">
        <v>40794</v>
      </c>
      <c r="I422">
        <v>4</v>
      </c>
      <c r="J422" t="s">
        <v>57</v>
      </c>
      <c r="K422">
        <f t="shared" si="56"/>
        <v>2</v>
      </c>
      <c r="L422">
        <f t="shared" si="57"/>
        <v>4.347826086956522E-5</v>
      </c>
      <c r="M422" t="b">
        <f t="shared" si="58"/>
        <v>0</v>
      </c>
      <c r="N422" t="b">
        <f t="shared" si="59"/>
        <v>1</v>
      </c>
      <c r="O422" t="s">
        <v>22</v>
      </c>
      <c r="P422">
        <f t="shared" si="60"/>
        <v>0.15217391304347827</v>
      </c>
      <c r="Q422">
        <f t="shared" si="61"/>
        <v>0.75</v>
      </c>
      <c r="R422">
        <f t="shared" si="62"/>
        <v>0.39130434782608703</v>
      </c>
    </row>
    <row r="423" spans="1:18">
      <c r="A423" t="s">
        <v>455</v>
      </c>
      <c r="B423" t="s">
        <v>19</v>
      </c>
      <c r="C423" t="str">
        <f t="shared" si="54"/>
        <v>Research &amp; Department</v>
      </c>
      <c r="D423" t="s">
        <v>27</v>
      </c>
      <c r="E423" t="str">
        <f t="shared" si="55"/>
        <v>Technova</v>
      </c>
      <c r="F423">
        <v>2</v>
      </c>
      <c r="G423">
        <v>23000</v>
      </c>
      <c r="H423" s="1">
        <v>38312</v>
      </c>
      <c r="I423">
        <v>4</v>
      </c>
      <c r="J423" t="s">
        <v>21</v>
      </c>
      <c r="K423">
        <f t="shared" si="56"/>
        <v>1</v>
      </c>
      <c r="L423">
        <f t="shared" si="57"/>
        <v>4.347826086956522E-5</v>
      </c>
      <c r="M423" t="b">
        <f t="shared" si="58"/>
        <v>0</v>
      </c>
      <c r="N423" t="b">
        <f t="shared" si="59"/>
        <v>0</v>
      </c>
      <c r="O423" t="s">
        <v>22</v>
      </c>
      <c r="P423">
        <f t="shared" si="60"/>
        <v>0.15217391304347827</v>
      </c>
      <c r="Q423">
        <f t="shared" si="61"/>
        <v>0.75</v>
      </c>
      <c r="R423">
        <f t="shared" si="62"/>
        <v>0.39130434782608703</v>
      </c>
    </row>
    <row r="424" spans="1:18">
      <c r="A424" t="s">
        <v>456</v>
      </c>
      <c r="B424" t="s">
        <v>56</v>
      </c>
      <c r="C424" t="str">
        <f t="shared" si="54"/>
        <v>IT &amp; Systems</v>
      </c>
      <c r="D424" t="s">
        <v>20</v>
      </c>
      <c r="E424" t="str">
        <f t="shared" si="55"/>
        <v>Dataverse</v>
      </c>
      <c r="F424">
        <v>25</v>
      </c>
      <c r="G424">
        <v>46000</v>
      </c>
      <c r="H424" s="1">
        <v>38231</v>
      </c>
      <c r="I424">
        <v>4</v>
      </c>
      <c r="J424" t="s">
        <v>57</v>
      </c>
      <c r="K424">
        <f t="shared" si="56"/>
        <v>2</v>
      </c>
      <c r="L424">
        <f t="shared" si="57"/>
        <v>4.347826086956522E-5</v>
      </c>
      <c r="M424" t="b">
        <f t="shared" si="58"/>
        <v>1</v>
      </c>
      <c r="N424" t="b">
        <f t="shared" si="59"/>
        <v>1</v>
      </c>
      <c r="O424" t="s">
        <v>22</v>
      </c>
      <c r="P424">
        <f t="shared" si="60"/>
        <v>0.15217391304347827</v>
      </c>
      <c r="Q424">
        <f t="shared" si="61"/>
        <v>0.75</v>
      </c>
      <c r="R424">
        <f t="shared" si="62"/>
        <v>0.39130434782608703</v>
      </c>
    </row>
    <row r="425" spans="1:18">
      <c r="A425" t="s">
        <v>457</v>
      </c>
      <c r="B425" t="s">
        <v>56</v>
      </c>
      <c r="C425" t="str">
        <f t="shared" si="54"/>
        <v>IT &amp; Systems</v>
      </c>
      <c r="D425" t="s">
        <v>27</v>
      </c>
      <c r="E425" t="str">
        <f t="shared" si="55"/>
        <v>Technova</v>
      </c>
      <c r="F425">
        <v>16</v>
      </c>
      <c r="G425">
        <v>46000</v>
      </c>
      <c r="H425" s="1">
        <v>41717</v>
      </c>
      <c r="I425">
        <v>4</v>
      </c>
      <c r="J425" t="s">
        <v>57</v>
      </c>
      <c r="K425">
        <f t="shared" si="56"/>
        <v>2</v>
      </c>
      <c r="L425">
        <f t="shared" si="57"/>
        <v>4.347826086956522E-5</v>
      </c>
      <c r="M425" t="b">
        <f t="shared" si="58"/>
        <v>1</v>
      </c>
      <c r="N425" t="b">
        <f t="shared" si="59"/>
        <v>1</v>
      </c>
      <c r="O425" t="s">
        <v>22</v>
      </c>
      <c r="P425">
        <f t="shared" si="60"/>
        <v>0.15217391304347827</v>
      </c>
      <c r="Q425">
        <f t="shared" si="61"/>
        <v>0.75</v>
      </c>
      <c r="R425">
        <f t="shared" si="62"/>
        <v>0.39130434782608703</v>
      </c>
    </row>
    <row r="426" spans="1:18">
      <c r="A426" t="s">
        <v>458</v>
      </c>
      <c r="B426" t="s">
        <v>70</v>
      </c>
      <c r="C426" t="str">
        <f t="shared" si="54"/>
        <v>Customer Experience</v>
      </c>
      <c r="D426" t="s">
        <v>20</v>
      </c>
      <c r="E426" t="str">
        <f t="shared" si="55"/>
        <v>Dataverse</v>
      </c>
      <c r="F426">
        <v>14</v>
      </c>
      <c r="G426">
        <v>69000</v>
      </c>
      <c r="H426" s="1">
        <v>42587</v>
      </c>
      <c r="I426">
        <v>4</v>
      </c>
      <c r="J426" t="s">
        <v>174</v>
      </c>
      <c r="K426">
        <f t="shared" si="56"/>
        <v>3</v>
      </c>
      <c r="L426">
        <f t="shared" si="57"/>
        <v>4.347826086956522E-5</v>
      </c>
      <c r="M426" t="b">
        <f t="shared" si="58"/>
        <v>0</v>
      </c>
      <c r="N426" t="b">
        <f t="shared" si="59"/>
        <v>1</v>
      </c>
      <c r="O426" t="s">
        <v>22</v>
      </c>
      <c r="P426">
        <f t="shared" si="60"/>
        <v>0.15217391304347827</v>
      </c>
      <c r="Q426">
        <f t="shared" si="61"/>
        <v>0.75</v>
      </c>
      <c r="R426">
        <f t="shared" si="62"/>
        <v>0.39130434782608703</v>
      </c>
    </row>
    <row r="427" spans="1:18">
      <c r="A427" t="s">
        <v>459</v>
      </c>
      <c r="B427" t="s">
        <v>60</v>
      </c>
      <c r="C427" t="str">
        <f t="shared" si="54"/>
        <v>Manufacturing and operations</v>
      </c>
      <c r="D427" t="s">
        <v>27</v>
      </c>
      <c r="E427" t="str">
        <f t="shared" si="55"/>
        <v>Technova</v>
      </c>
      <c r="F427">
        <v>2</v>
      </c>
      <c r="G427">
        <v>46000</v>
      </c>
      <c r="H427" s="1">
        <v>38329</v>
      </c>
      <c r="I427">
        <v>4</v>
      </c>
      <c r="J427" t="s">
        <v>57</v>
      </c>
      <c r="K427">
        <f t="shared" si="56"/>
        <v>2</v>
      </c>
      <c r="L427">
        <f t="shared" si="57"/>
        <v>4.347826086956522E-5</v>
      </c>
      <c r="M427" t="b">
        <f t="shared" si="58"/>
        <v>0</v>
      </c>
      <c r="N427" t="b">
        <f t="shared" si="59"/>
        <v>0</v>
      </c>
      <c r="O427" t="s">
        <v>22</v>
      </c>
      <c r="P427">
        <f t="shared" si="60"/>
        <v>0.15217391304347827</v>
      </c>
      <c r="Q427">
        <f t="shared" si="61"/>
        <v>0.75</v>
      </c>
      <c r="R427">
        <f t="shared" si="62"/>
        <v>0.39130434782608703</v>
      </c>
    </row>
    <row r="428" spans="1:18">
      <c r="A428" t="s">
        <v>460</v>
      </c>
      <c r="B428" t="s">
        <v>60</v>
      </c>
      <c r="C428" t="str">
        <f t="shared" si="54"/>
        <v>Manufacturing and operations</v>
      </c>
      <c r="D428" t="s">
        <v>27</v>
      </c>
      <c r="E428" t="str">
        <f t="shared" si="55"/>
        <v>Technova</v>
      </c>
      <c r="F428">
        <v>18</v>
      </c>
      <c r="G428">
        <v>46000</v>
      </c>
      <c r="H428" s="1">
        <v>44517</v>
      </c>
      <c r="I428">
        <v>4</v>
      </c>
      <c r="J428" t="s">
        <v>57</v>
      </c>
      <c r="K428">
        <f t="shared" si="56"/>
        <v>2</v>
      </c>
      <c r="L428">
        <f t="shared" si="57"/>
        <v>4.347826086956522E-5</v>
      </c>
      <c r="M428" t="b">
        <f t="shared" si="58"/>
        <v>1</v>
      </c>
      <c r="N428" t="b">
        <f t="shared" si="59"/>
        <v>1</v>
      </c>
      <c r="O428" t="s">
        <v>22</v>
      </c>
      <c r="P428">
        <f t="shared" si="60"/>
        <v>0.15217391304347827</v>
      </c>
      <c r="Q428">
        <f t="shared" si="61"/>
        <v>0.75</v>
      </c>
      <c r="R428">
        <f t="shared" si="62"/>
        <v>0.39130434782608703</v>
      </c>
    </row>
    <row r="429" spans="1:18">
      <c r="A429" t="s">
        <v>461</v>
      </c>
      <c r="B429" t="s">
        <v>67</v>
      </c>
      <c r="C429" t="str">
        <f t="shared" si="54"/>
        <v>Quality Assurance</v>
      </c>
      <c r="D429" t="s">
        <v>27</v>
      </c>
      <c r="E429" t="str">
        <f t="shared" si="55"/>
        <v>Technova</v>
      </c>
      <c r="F429">
        <v>18</v>
      </c>
      <c r="G429">
        <v>46000</v>
      </c>
      <c r="H429" s="1">
        <v>42533</v>
      </c>
      <c r="I429">
        <v>4</v>
      </c>
      <c r="J429" t="s">
        <v>57</v>
      </c>
      <c r="K429">
        <f t="shared" si="56"/>
        <v>2</v>
      </c>
      <c r="L429">
        <f t="shared" si="57"/>
        <v>4.347826086956522E-5</v>
      </c>
      <c r="M429" t="b">
        <f t="shared" si="58"/>
        <v>1</v>
      </c>
      <c r="N429" t="b">
        <f t="shared" si="59"/>
        <v>1</v>
      </c>
      <c r="O429" t="s">
        <v>22</v>
      </c>
      <c r="P429">
        <f t="shared" si="60"/>
        <v>0.15217391304347827</v>
      </c>
      <c r="Q429">
        <f t="shared" si="61"/>
        <v>0.75</v>
      </c>
      <c r="R429">
        <f t="shared" si="62"/>
        <v>0.39130434782608703</v>
      </c>
    </row>
    <row r="430" spans="1:18">
      <c r="A430" t="s">
        <v>462</v>
      </c>
      <c r="B430" t="s">
        <v>25</v>
      </c>
      <c r="C430" t="str">
        <f t="shared" si="54"/>
        <v>Sales &amp; Marketing</v>
      </c>
      <c r="D430" t="s">
        <v>20</v>
      </c>
      <c r="E430" t="str">
        <f t="shared" si="55"/>
        <v>Dataverse</v>
      </c>
      <c r="F430">
        <v>1</v>
      </c>
      <c r="G430">
        <v>23000</v>
      </c>
      <c r="H430" s="1">
        <v>42798</v>
      </c>
      <c r="I430">
        <v>4</v>
      </c>
      <c r="J430" t="s">
        <v>21</v>
      </c>
      <c r="K430">
        <f t="shared" si="56"/>
        <v>1</v>
      </c>
      <c r="L430">
        <f t="shared" si="57"/>
        <v>4.347826086956522E-5</v>
      </c>
      <c r="M430" t="b">
        <f t="shared" si="58"/>
        <v>0</v>
      </c>
      <c r="N430" t="b">
        <f t="shared" si="59"/>
        <v>0</v>
      </c>
      <c r="O430" t="s">
        <v>22</v>
      </c>
      <c r="P430">
        <f t="shared" si="60"/>
        <v>0.15217391304347827</v>
      </c>
      <c r="Q430">
        <f t="shared" si="61"/>
        <v>0.75</v>
      </c>
      <c r="R430">
        <f t="shared" si="62"/>
        <v>0.39130434782608703</v>
      </c>
    </row>
    <row r="431" spans="1:18">
      <c r="A431" t="s">
        <v>463</v>
      </c>
      <c r="B431" t="s">
        <v>70</v>
      </c>
      <c r="C431" t="str">
        <f t="shared" si="54"/>
        <v>Customer Experience</v>
      </c>
      <c r="D431" t="s">
        <v>27</v>
      </c>
      <c r="E431" t="str">
        <f t="shared" si="55"/>
        <v>Technova</v>
      </c>
      <c r="F431">
        <v>25</v>
      </c>
      <c r="G431">
        <v>37000</v>
      </c>
      <c r="H431" s="1">
        <v>38279</v>
      </c>
      <c r="I431">
        <v>3</v>
      </c>
      <c r="J431" t="s">
        <v>57</v>
      </c>
      <c r="K431">
        <f t="shared" si="56"/>
        <v>2</v>
      </c>
      <c r="L431">
        <f t="shared" si="57"/>
        <v>5.4054054054054054E-5</v>
      </c>
      <c r="M431" t="b">
        <f t="shared" si="58"/>
        <v>1</v>
      </c>
      <c r="N431" t="b">
        <f t="shared" si="59"/>
        <v>1</v>
      </c>
      <c r="O431" t="s">
        <v>22</v>
      </c>
      <c r="P431">
        <f t="shared" si="60"/>
        <v>0.31081081081081074</v>
      </c>
      <c r="Q431">
        <f t="shared" si="61"/>
        <v>0.5</v>
      </c>
      <c r="R431">
        <f t="shared" si="62"/>
        <v>0.38648648648648642</v>
      </c>
    </row>
    <row r="432" spans="1:18">
      <c r="A432" t="s">
        <v>464</v>
      </c>
      <c r="B432" t="s">
        <v>102</v>
      </c>
      <c r="C432" t="str">
        <f t="shared" si="54"/>
        <v>Finance</v>
      </c>
      <c r="D432" t="s">
        <v>20</v>
      </c>
      <c r="E432" t="str">
        <f t="shared" si="55"/>
        <v>Dataverse</v>
      </c>
      <c r="F432">
        <v>25</v>
      </c>
      <c r="G432">
        <v>37000</v>
      </c>
      <c r="H432" s="1">
        <v>40738</v>
      </c>
      <c r="I432">
        <v>3</v>
      </c>
      <c r="J432" t="s">
        <v>57</v>
      </c>
      <c r="K432">
        <f t="shared" si="56"/>
        <v>2</v>
      </c>
      <c r="L432">
        <f t="shared" si="57"/>
        <v>5.4054054054054054E-5</v>
      </c>
      <c r="M432" t="b">
        <f t="shared" si="58"/>
        <v>1</v>
      </c>
      <c r="N432" t="b">
        <f t="shared" si="59"/>
        <v>1</v>
      </c>
      <c r="O432" t="s">
        <v>22</v>
      </c>
      <c r="P432">
        <f t="shared" si="60"/>
        <v>0.31081081081081074</v>
      </c>
      <c r="Q432">
        <f t="shared" si="61"/>
        <v>0.5</v>
      </c>
      <c r="R432">
        <f t="shared" si="62"/>
        <v>0.38648648648648642</v>
      </c>
    </row>
    <row r="433" spans="1:18">
      <c r="A433" t="s">
        <v>465</v>
      </c>
      <c r="B433" t="s">
        <v>102</v>
      </c>
      <c r="C433" t="str">
        <f t="shared" si="54"/>
        <v>Finance</v>
      </c>
      <c r="D433" t="s">
        <v>20</v>
      </c>
      <c r="E433" t="str">
        <f t="shared" si="55"/>
        <v>Dataverse</v>
      </c>
      <c r="F433">
        <v>4</v>
      </c>
      <c r="G433">
        <v>37000</v>
      </c>
      <c r="H433" s="1">
        <v>38730</v>
      </c>
      <c r="I433">
        <v>3</v>
      </c>
      <c r="J433" t="s">
        <v>57</v>
      </c>
      <c r="K433">
        <f t="shared" si="56"/>
        <v>2</v>
      </c>
      <c r="L433">
        <f t="shared" si="57"/>
        <v>5.4054054054054054E-5</v>
      </c>
      <c r="M433" t="b">
        <f t="shared" si="58"/>
        <v>0</v>
      </c>
      <c r="N433" t="b">
        <f t="shared" si="59"/>
        <v>0</v>
      </c>
      <c r="O433" t="s">
        <v>22</v>
      </c>
      <c r="P433">
        <f t="shared" si="60"/>
        <v>0.31081081081081074</v>
      </c>
      <c r="Q433">
        <f t="shared" si="61"/>
        <v>0.5</v>
      </c>
      <c r="R433">
        <f t="shared" si="62"/>
        <v>0.38648648648648642</v>
      </c>
    </row>
    <row r="434" spans="1:18">
      <c r="A434" t="s">
        <v>466</v>
      </c>
      <c r="B434" t="s">
        <v>102</v>
      </c>
      <c r="C434" t="str">
        <f t="shared" si="54"/>
        <v>Finance</v>
      </c>
      <c r="D434" t="s">
        <v>20</v>
      </c>
      <c r="E434" t="str">
        <f t="shared" si="55"/>
        <v>Dataverse</v>
      </c>
      <c r="F434">
        <v>24</v>
      </c>
      <c r="G434">
        <v>37000</v>
      </c>
      <c r="H434" s="1">
        <v>42529</v>
      </c>
      <c r="I434">
        <v>3</v>
      </c>
      <c r="J434" t="s">
        <v>57</v>
      </c>
      <c r="K434">
        <f t="shared" si="56"/>
        <v>2</v>
      </c>
      <c r="L434">
        <f t="shared" si="57"/>
        <v>5.4054054054054054E-5</v>
      </c>
      <c r="M434" t="b">
        <f t="shared" si="58"/>
        <v>1</v>
      </c>
      <c r="N434" t="b">
        <f t="shared" si="59"/>
        <v>1</v>
      </c>
      <c r="O434" t="s">
        <v>22</v>
      </c>
      <c r="P434">
        <f t="shared" si="60"/>
        <v>0.31081081081081074</v>
      </c>
      <c r="Q434">
        <f t="shared" si="61"/>
        <v>0.5</v>
      </c>
      <c r="R434">
        <f t="shared" si="62"/>
        <v>0.38648648648648642</v>
      </c>
    </row>
    <row r="435" spans="1:18">
      <c r="A435" t="s">
        <v>467</v>
      </c>
      <c r="B435" t="s">
        <v>74</v>
      </c>
      <c r="C435" t="str">
        <f t="shared" si="54"/>
        <v>Human Resources</v>
      </c>
      <c r="D435" t="s">
        <v>20</v>
      </c>
      <c r="E435" t="str">
        <f t="shared" si="55"/>
        <v>Dataverse</v>
      </c>
      <c r="F435">
        <v>4</v>
      </c>
      <c r="G435">
        <v>37000</v>
      </c>
      <c r="H435" s="1">
        <v>44126</v>
      </c>
      <c r="I435">
        <v>3</v>
      </c>
      <c r="J435" t="s">
        <v>57</v>
      </c>
      <c r="K435">
        <f t="shared" si="56"/>
        <v>2</v>
      </c>
      <c r="L435">
        <f t="shared" si="57"/>
        <v>5.4054054054054054E-5</v>
      </c>
      <c r="M435" t="b">
        <f t="shared" si="58"/>
        <v>0</v>
      </c>
      <c r="N435" t="b">
        <f t="shared" si="59"/>
        <v>0</v>
      </c>
      <c r="O435" t="s">
        <v>22</v>
      </c>
      <c r="P435">
        <f t="shared" si="60"/>
        <v>0.31081081081081074</v>
      </c>
      <c r="Q435">
        <f t="shared" si="61"/>
        <v>0.5</v>
      </c>
      <c r="R435">
        <f t="shared" si="62"/>
        <v>0.38648648648648642</v>
      </c>
    </row>
    <row r="436" spans="1:18">
      <c r="A436" t="s">
        <v>468</v>
      </c>
      <c r="B436" t="s">
        <v>60</v>
      </c>
      <c r="C436" t="str">
        <f t="shared" si="54"/>
        <v>Manufacturing and operations</v>
      </c>
      <c r="D436" t="s">
        <v>20</v>
      </c>
      <c r="E436" t="str">
        <f t="shared" si="55"/>
        <v>Dataverse</v>
      </c>
      <c r="F436">
        <v>19</v>
      </c>
      <c r="G436">
        <v>37000</v>
      </c>
      <c r="H436" s="1">
        <v>42461</v>
      </c>
      <c r="I436">
        <v>3</v>
      </c>
      <c r="J436" t="s">
        <v>57</v>
      </c>
      <c r="K436">
        <f t="shared" si="56"/>
        <v>2</v>
      </c>
      <c r="L436">
        <f t="shared" si="57"/>
        <v>5.4054054054054054E-5</v>
      </c>
      <c r="M436" t="b">
        <f t="shared" si="58"/>
        <v>1</v>
      </c>
      <c r="N436" t="b">
        <f t="shared" si="59"/>
        <v>1</v>
      </c>
      <c r="O436" t="s">
        <v>22</v>
      </c>
      <c r="P436">
        <f t="shared" si="60"/>
        <v>0.31081081081081074</v>
      </c>
      <c r="Q436">
        <f t="shared" si="61"/>
        <v>0.5</v>
      </c>
      <c r="R436">
        <f t="shared" si="62"/>
        <v>0.38648648648648642</v>
      </c>
    </row>
    <row r="437" spans="1:18">
      <c r="A437" t="s">
        <v>469</v>
      </c>
      <c r="B437" t="s">
        <v>60</v>
      </c>
      <c r="C437" t="str">
        <f t="shared" si="54"/>
        <v>Manufacturing and operations</v>
      </c>
      <c r="D437" t="s">
        <v>20</v>
      </c>
      <c r="E437" t="str">
        <f t="shared" si="55"/>
        <v>Dataverse</v>
      </c>
      <c r="F437">
        <v>16</v>
      </c>
      <c r="G437">
        <v>37000</v>
      </c>
      <c r="H437" s="1">
        <v>42199</v>
      </c>
      <c r="I437">
        <v>3</v>
      </c>
      <c r="J437" t="s">
        <v>57</v>
      </c>
      <c r="K437">
        <f t="shared" si="56"/>
        <v>2</v>
      </c>
      <c r="L437">
        <f t="shared" si="57"/>
        <v>5.4054054054054054E-5</v>
      </c>
      <c r="M437" t="b">
        <f t="shared" si="58"/>
        <v>1</v>
      </c>
      <c r="N437" t="b">
        <f t="shared" si="59"/>
        <v>1</v>
      </c>
      <c r="O437" t="s">
        <v>22</v>
      </c>
      <c r="P437">
        <f t="shared" si="60"/>
        <v>0.31081081081081074</v>
      </c>
      <c r="Q437">
        <f t="shared" si="61"/>
        <v>0.5</v>
      </c>
      <c r="R437">
        <f t="shared" si="62"/>
        <v>0.38648648648648642</v>
      </c>
    </row>
    <row r="438" spans="1:18">
      <c r="A438" t="s">
        <v>470</v>
      </c>
      <c r="B438" t="s">
        <v>60</v>
      </c>
      <c r="C438" t="str">
        <f t="shared" si="54"/>
        <v>Manufacturing and operations</v>
      </c>
      <c r="D438" t="s">
        <v>20</v>
      </c>
      <c r="E438" t="str">
        <f t="shared" si="55"/>
        <v>Dataverse</v>
      </c>
      <c r="F438">
        <v>16</v>
      </c>
      <c r="G438">
        <v>37000</v>
      </c>
      <c r="H438" s="1">
        <v>39976</v>
      </c>
      <c r="I438">
        <v>3</v>
      </c>
      <c r="J438" t="s">
        <v>57</v>
      </c>
      <c r="K438">
        <f t="shared" si="56"/>
        <v>2</v>
      </c>
      <c r="L438">
        <f t="shared" si="57"/>
        <v>5.4054054054054054E-5</v>
      </c>
      <c r="M438" t="b">
        <f t="shared" si="58"/>
        <v>1</v>
      </c>
      <c r="N438" t="b">
        <f t="shared" si="59"/>
        <v>1</v>
      </c>
      <c r="O438" t="s">
        <v>22</v>
      </c>
      <c r="P438">
        <f t="shared" si="60"/>
        <v>0.31081081081081074</v>
      </c>
      <c r="Q438">
        <f t="shared" si="61"/>
        <v>0.5</v>
      </c>
      <c r="R438">
        <f t="shared" si="62"/>
        <v>0.38648648648648642</v>
      </c>
    </row>
    <row r="439" spans="1:18">
      <c r="A439" t="s">
        <v>471</v>
      </c>
      <c r="B439" t="s">
        <v>67</v>
      </c>
      <c r="C439" t="str">
        <f t="shared" si="54"/>
        <v>Quality Assurance</v>
      </c>
      <c r="D439" t="s">
        <v>27</v>
      </c>
      <c r="E439" t="str">
        <f t="shared" si="55"/>
        <v>Technova</v>
      </c>
      <c r="F439">
        <v>17</v>
      </c>
      <c r="G439">
        <v>37000</v>
      </c>
      <c r="H439" s="1">
        <v>38189</v>
      </c>
      <c r="I439">
        <v>3</v>
      </c>
      <c r="J439" t="s">
        <v>57</v>
      </c>
      <c r="K439">
        <f t="shared" si="56"/>
        <v>2</v>
      </c>
      <c r="L439">
        <f t="shared" si="57"/>
        <v>5.4054054054054054E-5</v>
      </c>
      <c r="M439" t="b">
        <f t="shared" si="58"/>
        <v>1</v>
      </c>
      <c r="N439" t="b">
        <f t="shared" si="59"/>
        <v>1</v>
      </c>
      <c r="O439" t="s">
        <v>22</v>
      </c>
      <c r="P439">
        <f t="shared" si="60"/>
        <v>0.31081081081081074</v>
      </c>
      <c r="Q439">
        <f t="shared" si="61"/>
        <v>0.5</v>
      </c>
      <c r="R439">
        <f t="shared" si="62"/>
        <v>0.38648648648648642</v>
      </c>
    </row>
    <row r="440" spans="1:18">
      <c r="A440" t="s">
        <v>472</v>
      </c>
      <c r="B440" t="s">
        <v>70</v>
      </c>
      <c r="C440" t="str">
        <f t="shared" si="54"/>
        <v>Customer Experience</v>
      </c>
      <c r="D440" t="s">
        <v>27</v>
      </c>
      <c r="E440" t="str">
        <f t="shared" si="55"/>
        <v>Technova</v>
      </c>
      <c r="F440">
        <v>6</v>
      </c>
      <c r="G440">
        <v>70000</v>
      </c>
      <c r="H440" s="1">
        <v>39927</v>
      </c>
      <c r="I440">
        <v>4</v>
      </c>
      <c r="J440" t="s">
        <v>174</v>
      </c>
      <c r="K440">
        <f t="shared" si="56"/>
        <v>3</v>
      </c>
      <c r="L440">
        <f t="shared" si="57"/>
        <v>4.2857142857142856E-5</v>
      </c>
      <c r="M440" t="b">
        <f t="shared" si="58"/>
        <v>0</v>
      </c>
      <c r="N440" t="b">
        <f t="shared" si="59"/>
        <v>1</v>
      </c>
      <c r="O440" t="s">
        <v>22</v>
      </c>
      <c r="P440">
        <f t="shared" si="60"/>
        <v>0.14285714285714282</v>
      </c>
      <c r="Q440">
        <f t="shared" si="61"/>
        <v>0.75</v>
      </c>
      <c r="R440">
        <f t="shared" si="62"/>
        <v>0.38571428571428573</v>
      </c>
    </row>
    <row r="441" spans="1:18">
      <c r="A441" t="s">
        <v>473</v>
      </c>
      <c r="B441" t="s">
        <v>70</v>
      </c>
      <c r="C441" t="str">
        <f t="shared" si="54"/>
        <v>Customer Experience</v>
      </c>
      <c r="D441" t="s">
        <v>27</v>
      </c>
      <c r="E441" t="str">
        <f t="shared" si="55"/>
        <v>Technova</v>
      </c>
      <c r="F441">
        <v>10</v>
      </c>
      <c r="G441">
        <v>47000</v>
      </c>
      <c r="H441" s="1">
        <v>44080</v>
      </c>
      <c r="I441">
        <v>4</v>
      </c>
      <c r="J441" t="s">
        <v>57</v>
      </c>
      <c r="K441">
        <f t="shared" si="56"/>
        <v>2</v>
      </c>
      <c r="L441">
        <f t="shared" si="57"/>
        <v>4.2553191489361704E-5</v>
      </c>
      <c r="M441" t="b">
        <f t="shared" si="58"/>
        <v>0</v>
      </c>
      <c r="N441" t="b">
        <f t="shared" si="59"/>
        <v>1</v>
      </c>
      <c r="O441" t="s">
        <v>22</v>
      </c>
      <c r="P441">
        <f t="shared" si="60"/>
        <v>0.13829787234042554</v>
      </c>
      <c r="Q441">
        <f t="shared" si="61"/>
        <v>0.75</v>
      </c>
      <c r="R441">
        <f t="shared" si="62"/>
        <v>0.38297872340425537</v>
      </c>
    </row>
    <row r="442" spans="1:18">
      <c r="A442" t="s">
        <v>474</v>
      </c>
      <c r="B442" t="s">
        <v>74</v>
      </c>
      <c r="C442" t="str">
        <f t="shared" si="54"/>
        <v>Human Resources</v>
      </c>
      <c r="D442" t="s">
        <v>20</v>
      </c>
      <c r="E442" t="str">
        <f t="shared" si="55"/>
        <v>Dataverse</v>
      </c>
      <c r="F442">
        <v>25</v>
      </c>
      <c r="G442">
        <v>47000</v>
      </c>
      <c r="H442" s="1">
        <v>44062</v>
      </c>
      <c r="I442">
        <v>4</v>
      </c>
      <c r="J442" t="s">
        <v>57</v>
      </c>
      <c r="K442">
        <f t="shared" si="56"/>
        <v>2</v>
      </c>
      <c r="L442">
        <f t="shared" si="57"/>
        <v>4.2553191489361704E-5</v>
      </c>
      <c r="M442" t="b">
        <f t="shared" si="58"/>
        <v>1</v>
      </c>
      <c r="N442" t="b">
        <f t="shared" si="59"/>
        <v>1</v>
      </c>
      <c r="O442" t="s">
        <v>22</v>
      </c>
      <c r="P442">
        <f t="shared" si="60"/>
        <v>0.13829787234042554</v>
      </c>
      <c r="Q442">
        <f t="shared" si="61"/>
        <v>0.75</v>
      </c>
      <c r="R442">
        <f t="shared" si="62"/>
        <v>0.38297872340425537</v>
      </c>
    </row>
    <row r="443" spans="1:18">
      <c r="A443" t="s">
        <v>475</v>
      </c>
      <c r="B443" t="s">
        <v>74</v>
      </c>
      <c r="C443" t="str">
        <f t="shared" si="54"/>
        <v>Human Resources</v>
      </c>
      <c r="D443" t="s">
        <v>20</v>
      </c>
      <c r="E443" t="str">
        <f t="shared" si="55"/>
        <v>Dataverse</v>
      </c>
      <c r="F443">
        <v>10</v>
      </c>
      <c r="G443">
        <v>47000</v>
      </c>
      <c r="H443" s="1">
        <v>43997</v>
      </c>
      <c r="I443">
        <v>4</v>
      </c>
      <c r="J443" t="s">
        <v>57</v>
      </c>
      <c r="K443">
        <f t="shared" si="56"/>
        <v>2</v>
      </c>
      <c r="L443">
        <f t="shared" si="57"/>
        <v>4.2553191489361704E-5</v>
      </c>
      <c r="M443" t="b">
        <f t="shared" si="58"/>
        <v>0</v>
      </c>
      <c r="N443" t="b">
        <f t="shared" si="59"/>
        <v>1</v>
      </c>
      <c r="O443" t="s">
        <v>22</v>
      </c>
      <c r="P443">
        <f t="shared" si="60"/>
        <v>0.13829787234042554</v>
      </c>
      <c r="Q443">
        <f t="shared" si="61"/>
        <v>0.75</v>
      </c>
      <c r="R443">
        <f t="shared" si="62"/>
        <v>0.38297872340425537</v>
      </c>
    </row>
    <row r="444" spans="1:18">
      <c r="A444" t="s">
        <v>476</v>
      </c>
      <c r="B444" t="s">
        <v>56</v>
      </c>
      <c r="C444" t="str">
        <f t="shared" si="54"/>
        <v>IT &amp; Systems</v>
      </c>
      <c r="D444" t="s">
        <v>27</v>
      </c>
      <c r="E444" t="str">
        <f t="shared" si="55"/>
        <v>Technova</v>
      </c>
      <c r="F444">
        <v>21</v>
      </c>
      <c r="G444">
        <v>47000</v>
      </c>
      <c r="H444" s="1">
        <v>40977</v>
      </c>
      <c r="I444">
        <v>4</v>
      </c>
      <c r="J444" t="s">
        <v>57</v>
      </c>
      <c r="K444">
        <f t="shared" si="56"/>
        <v>2</v>
      </c>
      <c r="L444">
        <f t="shared" si="57"/>
        <v>4.2553191489361704E-5</v>
      </c>
      <c r="M444" t="b">
        <f t="shared" si="58"/>
        <v>1</v>
      </c>
      <c r="N444" t="b">
        <f t="shared" si="59"/>
        <v>1</v>
      </c>
      <c r="O444" t="s">
        <v>22</v>
      </c>
      <c r="P444">
        <f t="shared" si="60"/>
        <v>0.13829787234042554</v>
      </c>
      <c r="Q444">
        <f t="shared" si="61"/>
        <v>0.75</v>
      </c>
      <c r="R444">
        <f t="shared" si="62"/>
        <v>0.38297872340425537</v>
      </c>
    </row>
    <row r="445" spans="1:18">
      <c r="A445" t="s">
        <v>477</v>
      </c>
      <c r="B445" t="s">
        <v>56</v>
      </c>
      <c r="C445" t="str">
        <f t="shared" si="54"/>
        <v>IT &amp; Systems</v>
      </c>
      <c r="D445" t="s">
        <v>27</v>
      </c>
      <c r="E445" t="str">
        <f t="shared" si="55"/>
        <v>Technova</v>
      </c>
      <c r="F445">
        <v>24</v>
      </c>
      <c r="G445">
        <v>47000</v>
      </c>
      <c r="H445" s="1">
        <v>38335</v>
      </c>
      <c r="I445">
        <v>4</v>
      </c>
      <c r="J445" t="s">
        <v>57</v>
      </c>
      <c r="K445">
        <f t="shared" si="56"/>
        <v>2</v>
      </c>
      <c r="L445">
        <f t="shared" si="57"/>
        <v>4.2553191489361704E-5</v>
      </c>
      <c r="M445" t="b">
        <f t="shared" si="58"/>
        <v>1</v>
      </c>
      <c r="N445" t="b">
        <f t="shared" si="59"/>
        <v>1</v>
      </c>
      <c r="O445" t="s">
        <v>22</v>
      </c>
      <c r="P445">
        <f t="shared" si="60"/>
        <v>0.13829787234042554</v>
      </c>
      <c r="Q445">
        <f t="shared" si="61"/>
        <v>0.75</v>
      </c>
      <c r="R445">
        <f t="shared" si="62"/>
        <v>0.38297872340425537</v>
      </c>
    </row>
    <row r="446" spans="1:18">
      <c r="A446" t="s">
        <v>478</v>
      </c>
      <c r="B446" t="s">
        <v>60</v>
      </c>
      <c r="C446" t="str">
        <f t="shared" si="54"/>
        <v>Manufacturing and operations</v>
      </c>
      <c r="D446" t="s">
        <v>27</v>
      </c>
      <c r="E446" t="str">
        <f t="shared" si="55"/>
        <v>Technova</v>
      </c>
      <c r="F446">
        <v>24</v>
      </c>
      <c r="G446">
        <v>47000</v>
      </c>
      <c r="H446" s="1">
        <v>43052</v>
      </c>
      <c r="I446">
        <v>4</v>
      </c>
      <c r="J446" t="s">
        <v>57</v>
      </c>
      <c r="K446">
        <f t="shared" si="56"/>
        <v>2</v>
      </c>
      <c r="L446">
        <f t="shared" si="57"/>
        <v>4.2553191489361704E-5</v>
      </c>
      <c r="M446" t="b">
        <f t="shared" si="58"/>
        <v>1</v>
      </c>
      <c r="N446" t="b">
        <f t="shared" si="59"/>
        <v>1</v>
      </c>
      <c r="O446" t="s">
        <v>22</v>
      </c>
      <c r="P446">
        <f t="shared" si="60"/>
        <v>0.13829787234042554</v>
      </c>
      <c r="Q446">
        <f t="shared" si="61"/>
        <v>0.75</v>
      </c>
      <c r="R446">
        <f t="shared" si="62"/>
        <v>0.38297872340425537</v>
      </c>
    </row>
    <row r="447" spans="1:18">
      <c r="A447" t="s">
        <v>479</v>
      </c>
      <c r="B447" t="s">
        <v>56</v>
      </c>
      <c r="C447" t="str">
        <f t="shared" si="54"/>
        <v>IT &amp; Systems</v>
      </c>
      <c r="D447" t="s">
        <v>27</v>
      </c>
      <c r="E447" t="str">
        <f t="shared" si="55"/>
        <v>Technova</v>
      </c>
      <c r="F447">
        <v>14</v>
      </c>
      <c r="G447">
        <v>31000</v>
      </c>
      <c r="H447" s="1">
        <v>41923</v>
      </c>
      <c r="I447">
        <v>2</v>
      </c>
      <c r="J447" t="s">
        <v>57</v>
      </c>
      <c r="K447">
        <f t="shared" si="56"/>
        <v>2</v>
      </c>
      <c r="L447">
        <f t="shared" si="57"/>
        <v>6.4516129032258067E-5</v>
      </c>
      <c r="M447" t="b">
        <f t="shared" si="58"/>
        <v>0</v>
      </c>
      <c r="N447" t="b">
        <f t="shared" si="59"/>
        <v>1</v>
      </c>
      <c r="O447" t="s">
        <v>22</v>
      </c>
      <c r="P447">
        <f t="shared" si="60"/>
        <v>0.46774193548387094</v>
      </c>
      <c r="Q447">
        <f t="shared" si="61"/>
        <v>0.25</v>
      </c>
      <c r="R447">
        <f t="shared" si="62"/>
        <v>0.38064516129032255</v>
      </c>
    </row>
    <row r="448" spans="1:18">
      <c r="A448" t="s">
        <v>480</v>
      </c>
      <c r="B448" t="s">
        <v>56</v>
      </c>
      <c r="C448" t="str">
        <f t="shared" si="54"/>
        <v>IT &amp; Systems</v>
      </c>
      <c r="D448" t="s">
        <v>27</v>
      </c>
      <c r="E448" t="str">
        <f t="shared" si="55"/>
        <v>Technova</v>
      </c>
      <c r="F448">
        <v>17</v>
      </c>
      <c r="G448">
        <v>31000</v>
      </c>
      <c r="H448" s="1">
        <v>42698</v>
      </c>
      <c r="I448">
        <v>2</v>
      </c>
      <c r="J448" t="s">
        <v>57</v>
      </c>
      <c r="K448">
        <f t="shared" si="56"/>
        <v>2</v>
      </c>
      <c r="L448">
        <f t="shared" si="57"/>
        <v>6.4516129032258067E-5</v>
      </c>
      <c r="M448" t="b">
        <f t="shared" si="58"/>
        <v>1</v>
      </c>
      <c r="N448" t="b">
        <f t="shared" si="59"/>
        <v>1</v>
      </c>
      <c r="O448" t="s">
        <v>22</v>
      </c>
      <c r="P448">
        <f t="shared" si="60"/>
        <v>0.46774193548387094</v>
      </c>
      <c r="Q448">
        <f t="shared" si="61"/>
        <v>0.25</v>
      </c>
      <c r="R448">
        <f t="shared" si="62"/>
        <v>0.38064516129032255</v>
      </c>
    </row>
    <row r="449" spans="1:18">
      <c r="A449" t="s">
        <v>481</v>
      </c>
      <c r="B449" t="s">
        <v>60</v>
      </c>
      <c r="C449" t="str">
        <f t="shared" si="54"/>
        <v>Manufacturing and operations</v>
      </c>
      <c r="D449" t="s">
        <v>20</v>
      </c>
      <c r="E449" t="str">
        <f t="shared" si="55"/>
        <v>Dataverse</v>
      </c>
      <c r="F449">
        <v>15</v>
      </c>
      <c r="G449">
        <v>31000</v>
      </c>
      <c r="H449" s="1">
        <v>41444</v>
      </c>
      <c r="I449">
        <v>2</v>
      </c>
      <c r="J449" t="s">
        <v>57</v>
      </c>
      <c r="K449">
        <f t="shared" si="56"/>
        <v>2</v>
      </c>
      <c r="L449">
        <f t="shared" si="57"/>
        <v>6.4516129032258067E-5</v>
      </c>
      <c r="M449" t="b">
        <f t="shared" si="58"/>
        <v>0</v>
      </c>
      <c r="N449" t="b">
        <f t="shared" si="59"/>
        <v>1</v>
      </c>
      <c r="O449" t="s">
        <v>22</v>
      </c>
      <c r="P449">
        <f t="shared" si="60"/>
        <v>0.46774193548387094</v>
      </c>
      <c r="Q449">
        <f t="shared" si="61"/>
        <v>0.25</v>
      </c>
      <c r="R449">
        <f t="shared" si="62"/>
        <v>0.38064516129032255</v>
      </c>
    </row>
    <row r="450" spans="1:18">
      <c r="A450" t="s">
        <v>482</v>
      </c>
      <c r="B450" t="s">
        <v>60</v>
      </c>
      <c r="C450" t="str">
        <f t="shared" ref="C450:C513" si="63">TRIM(B450)</f>
        <v>Manufacturing and operations</v>
      </c>
      <c r="D450" t="s">
        <v>27</v>
      </c>
      <c r="E450" t="str">
        <f t="shared" ref="E450:E513" si="64">TRIM(D450)</f>
        <v>Technova</v>
      </c>
      <c r="F450">
        <v>22</v>
      </c>
      <c r="G450">
        <v>31000</v>
      </c>
      <c r="H450" s="1">
        <v>43985</v>
      </c>
      <c r="I450">
        <v>2</v>
      </c>
      <c r="J450" t="s">
        <v>57</v>
      </c>
      <c r="K450">
        <f t="shared" ref="K450:K513" si="65">IF(J450="A", 3, IF(J450="B", 2, 1))</f>
        <v>2</v>
      </c>
      <c r="L450">
        <f t="shared" ref="L450:L513" si="66">K450/G450</f>
        <v>6.4516129032258067E-5</v>
      </c>
      <c r="M450" t="b">
        <f t="shared" ref="M450:M513" si="67">IF(F450&gt;15, TRUE, FALSE)</f>
        <v>1</v>
      </c>
      <c r="N450" t="b">
        <f t="shared" ref="N450:N513" si="68">IF(F450&gt;5, TRUE, FALSE)</f>
        <v>1</v>
      </c>
      <c r="O450" t="s">
        <v>22</v>
      </c>
      <c r="P450">
        <f t="shared" ref="P450:P513" si="69">(L450-MIN(L:L))/(MAX(L:L)-MIN(L:L))</f>
        <v>0.46774193548387094</v>
      </c>
      <c r="Q450">
        <f t="shared" ref="Q450:Q513" si="70">(I450-1)/4</f>
        <v>0.25</v>
      </c>
      <c r="R450">
        <f t="shared" ref="R450:R513" si="71">(0.6*P450)+(0.4*Q450)</f>
        <v>0.38064516129032255</v>
      </c>
    </row>
    <row r="451" spans="1:18">
      <c r="A451" t="s">
        <v>483</v>
      </c>
      <c r="B451" t="s">
        <v>67</v>
      </c>
      <c r="C451" t="str">
        <f t="shared" si="63"/>
        <v>Quality Assurance</v>
      </c>
      <c r="D451" t="s">
        <v>20</v>
      </c>
      <c r="E451" t="str">
        <f t="shared" si="64"/>
        <v>Dataverse</v>
      </c>
      <c r="F451">
        <v>9</v>
      </c>
      <c r="G451">
        <v>31000</v>
      </c>
      <c r="H451" s="1">
        <v>41406</v>
      </c>
      <c r="I451">
        <v>2</v>
      </c>
      <c r="J451" t="s">
        <v>57</v>
      </c>
      <c r="K451">
        <f t="shared" si="65"/>
        <v>2</v>
      </c>
      <c r="L451">
        <f t="shared" si="66"/>
        <v>6.4516129032258067E-5</v>
      </c>
      <c r="M451" t="b">
        <f t="shared" si="67"/>
        <v>0</v>
      </c>
      <c r="N451" t="b">
        <f t="shared" si="68"/>
        <v>1</v>
      </c>
      <c r="O451" t="s">
        <v>22</v>
      </c>
      <c r="P451">
        <f t="shared" si="69"/>
        <v>0.46774193548387094</v>
      </c>
      <c r="Q451">
        <f t="shared" si="70"/>
        <v>0.25</v>
      </c>
      <c r="R451">
        <f t="shared" si="71"/>
        <v>0.38064516129032255</v>
      </c>
    </row>
    <row r="452" spans="1:18">
      <c r="A452" t="s">
        <v>484</v>
      </c>
      <c r="B452" t="s">
        <v>70</v>
      </c>
      <c r="C452" t="str">
        <f t="shared" si="63"/>
        <v>Customer Experience</v>
      </c>
      <c r="D452" t="s">
        <v>20</v>
      </c>
      <c r="E452" t="str">
        <f t="shared" si="64"/>
        <v>Dataverse</v>
      </c>
      <c r="F452">
        <v>23</v>
      </c>
      <c r="G452">
        <v>71000</v>
      </c>
      <c r="H452" s="1">
        <v>39979</v>
      </c>
      <c r="I452">
        <v>4</v>
      </c>
      <c r="J452" t="s">
        <v>174</v>
      </c>
      <c r="K452">
        <f t="shared" si="65"/>
        <v>3</v>
      </c>
      <c r="L452">
        <f t="shared" si="66"/>
        <v>4.2253521126760563E-5</v>
      </c>
      <c r="M452" t="b">
        <f t="shared" si="67"/>
        <v>1</v>
      </c>
      <c r="N452" t="b">
        <f t="shared" si="68"/>
        <v>1</v>
      </c>
      <c r="O452" t="s">
        <v>22</v>
      </c>
      <c r="P452">
        <f t="shared" si="69"/>
        <v>0.13380281690140841</v>
      </c>
      <c r="Q452">
        <f t="shared" si="70"/>
        <v>0.75</v>
      </c>
      <c r="R452">
        <f t="shared" si="71"/>
        <v>0.38028169014084512</v>
      </c>
    </row>
    <row r="453" spans="1:18">
      <c r="A453" t="s">
        <v>485</v>
      </c>
      <c r="B453" t="s">
        <v>70</v>
      </c>
      <c r="C453" t="str">
        <f t="shared" si="63"/>
        <v>Customer Experience</v>
      </c>
      <c r="D453" t="s">
        <v>27</v>
      </c>
      <c r="E453" t="str">
        <f t="shared" si="64"/>
        <v>Technova</v>
      </c>
      <c r="F453">
        <v>15</v>
      </c>
      <c r="G453">
        <v>71000</v>
      </c>
      <c r="H453" s="1">
        <v>45032</v>
      </c>
      <c r="I453">
        <v>4</v>
      </c>
      <c r="J453" t="s">
        <v>174</v>
      </c>
      <c r="K453">
        <f t="shared" si="65"/>
        <v>3</v>
      </c>
      <c r="L453">
        <f t="shared" si="66"/>
        <v>4.2253521126760563E-5</v>
      </c>
      <c r="M453" t="b">
        <f t="shared" si="67"/>
        <v>0</v>
      </c>
      <c r="N453" t="b">
        <f t="shared" si="68"/>
        <v>1</v>
      </c>
      <c r="O453" t="s">
        <v>22</v>
      </c>
      <c r="P453">
        <f t="shared" si="69"/>
        <v>0.13380281690140841</v>
      </c>
      <c r="Q453">
        <f t="shared" si="70"/>
        <v>0.75</v>
      </c>
      <c r="R453">
        <f t="shared" si="71"/>
        <v>0.38028169014084512</v>
      </c>
    </row>
    <row r="454" spans="1:18">
      <c r="A454" t="s">
        <v>486</v>
      </c>
      <c r="B454" t="s">
        <v>19</v>
      </c>
      <c r="C454" t="str">
        <f t="shared" si="63"/>
        <v>Research &amp; Department</v>
      </c>
      <c r="D454" t="s">
        <v>20</v>
      </c>
      <c r="E454" t="str">
        <f t="shared" si="64"/>
        <v>Dataverse</v>
      </c>
      <c r="F454">
        <v>22</v>
      </c>
      <c r="G454">
        <v>24000</v>
      </c>
      <c r="H454" s="1">
        <v>43863</v>
      </c>
      <c r="I454">
        <v>4</v>
      </c>
      <c r="J454" t="s">
        <v>21</v>
      </c>
      <c r="K454">
        <f t="shared" si="65"/>
        <v>1</v>
      </c>
      <c r="L454">
        <f t="shared" si="66"/>
        <v>4.1666666666666665E-5</v>
      </c>
      <c r="M454" t="b">
        <f t="shared" si="67"/>
        <v>1</v>
      </c>
      <c r="N454" t="b">
        <f t="shared" si="68"/>
        <v>1</v>
      </c>
      <c r="O454" t="s">
        <v>22</v>
      </c>
      <c r="P454">
        <f t="shared" si="69"/>
        <v>0.12499999999999994</v>
      </c>
      <c r="Q454">
        <f t="shared" si="70"/>
        <v>0.75</v>
      </c>
      <c r="R454">
        <f t="shared" si="71"/>
        <v>0.375</v>
      </c>
    </row>
    <row r="455" spans="1:18">
      <c r="A455" t="s">
        <v>487</v>
      </c>
      <c r="B455" t="s">
        <v>102</v>
      </c>
      <c r="C455" t="str">
        <f t="shared" si="63"/>
        <v>Finance</v>
      </c>
      <c r="D455" t="s">
        <v>27</v>
      </c>
      <c r="E455" t="str">
        <f t="shared" si="64"/>
        <v>Technova</v>
      </c>
      <c r="F455">
        <v>23</v>
      </c>
      <c r="G455">
        <v>48000</v>
      </c>
      <c r="H455" s="1">
        <v>39434</v>
      </c>
      <c r="I455">
        <v>4</v>
      </c>
      <c r="J455" t="s">
        <v>57</v>
      </c>
      <c r="K455">
        <f t="shared" si="65"/>
        <v>2</v>
      </c>
      <c r="L455">
        <f t="shared" si="66"/>
        <v>4.1666666666666665E-5</v>
      </c>
      <c r="M455" t="b">
        <f t="shared" si="67"/>
        <v>1</v>
      </c>
      <c r="N455" t="b">
        <f t="shared" si="68"/>
        <v>1</v>
      </c>
      <c r="O455" t="s">
        <v>22</v>
      </c>
      <c r="P455">
        <f t="shared" si="69"/>
        <v>0.12499999999999994</v>
      </c>
      <c r="Q455">
        <f t="shared" si="70"/>
        <v>0.75</v>
      </c>
      <c r="R455">
        <f t="shared" si="71"/>
        <v>0.375</v>
      </c>
    </row>
    <row r="456" spans="1:18">
      <c r="A456" t="s">
        <v>488</v>
      </c>
      <c r="B456" t="s">
        <v>19</v>
      </c>
      <c r="C456" t="str">
        <f t="shared" si="63"/>
        <v>Research &amp; Department</v>
      </c>
      <c r="D456" t="s">
        <v>27</v>
      </c>
      <c r="E456" t="str">
        <f t="shared" si="64"/>
        <v>Technova</v>
      </c>
      <c r="F456">
        <v>23</v>
      </c>
      <c r="G456">
        <v>24000</v>
      </c>
      <c r="H456" s="1">
        <v>45451</v>
      </c>
      <c r="I456">
        <v>4</v>
      </c>
      <c r="J456" t="s">
        <v>21</v>
      </c>
      <c r="K456">
        <f t="shared" si="65"/>
        <v>1</v>
      </c>
      <c r="L456">
        <f t="shared" si="66"/>
        <v>4.1666666666666665E-5</v>
      </c>
      <c r="M456" t="b">
        <f t="shared" si="67"/>
        <v>1</v>
      </c>
      <c r="N456" t="b">
        <f t="shared" si="68"/>
        <v>1</v>
      </c>
      <c r="O456" t="s">
        <v>22</v>
      </c>
      <c r="P456">
        <f t="shared" si="69"/>
        <v>0.12499999999999994</v>
      </c>
      <c r="Q456">
        <f t="shared" si="70"/>
        <v>0.75</v>
      </c>
      <c r="R456">
        <f t="shared" si="71"/>
        <v>0.375</v>
      </c>
    </row>
    <row r="457" spans="1:18">
      <c r="A457" t="s">
        <v>489</v>
      </c>
      <c r="B457" t="s">
        <v>74</v>
      </c>
      <c r="C457" t="str">
        <f t="shared" si="63"/>
        <v>Human Resources</v>
      </c>
      <c r="D457" t="s">
        <v>27</v>
      </c>
      <c r="E457" t="str">
        <f t="shared" si="64"/>
        <v>Technova</v>
      </c>
      <c r="F457">
        <v>12</v>
      </c>
      <c r="G457">
        <v>48000</v>
      </c>
      <c r="H457" s="1">
        <v>43496</v>
      </c>
      <c r="I457">
        <v>4</v>
      </c>
      <c r="J457" t="s">
        <v>57</v>
      </c>
      <c r="K457">
        <f t="shared" si="65"/>
        <v>2</v>
      </c>
      <c r="L457">
        <f t="shared" si="66"/>
        <v>4.1666666666666665E-5</v>
      </c>
      <c r="M457" t="b">
        <f t="shared" si="67"/>
        <v>0</v>
      </c>
      <c r="N457" t="b">
        <f t="shared" si="68"/>
        <v>1</v>
      </c>
      <c r="O457" t="s">
        <v>22</v>
      </c>
      <c r="P457">
        <f t="shared" si="69"/>
        <v>0.12499999999999994</v>
      </c>
      <c r="Q457">
        <f t="shared" si="70"/>
        <v>0.75</v>
      </c>
      <c r="R457">
        <f t="shared" si="71"/>
        <v>0.375</v>
      </c>
    </row>
    <row r="458" spans="1:18">
      <c r="A458" t="s">
        <v>490</v>
      </c>
      <c r="B458" t="s">
        <v>56</v>
      </c>
      <c r="C458" t="str">
        <f t="shared" si="63"/>
        <v>IT &amp; Systems</v>
      </c>
      <c r="D458" t="s">
        <v>27</v>
      </c>
      <c r="E458" t="str">
        <f t="shared" si="64"/>
        <v>Technova</v>
      </c>
      <c r="F458">
        <v>22</v>
      </c>
      <c r="G458">
        <v>48000</v>
      </c>
      <c r="H458" s="1">
        <v>40968</v>
      </c>
      <c r="I458">
        <v>4</v>
      </c>
      <c r="J458" t="s">
        <v>57</v>
      </c>
      <c r="K458">
        <f t="shared" si="65"/>
        <v>2</v>
      </c>
      <c r="L458">
        <f t="shared" si="66"/>
        <v>4.1666666666666665E-5</v>
      </c>
      <c r="M458" t="b">
        <f t="shared" si="67"/>
        <v>1</v>
      </c>
      <c r="N458" t="b">
        <f t="shared" si="68"/>
        <v>1</v>
      </c>
      <c r="O458" t="s">
        <v>22</v>
      </c>
      <c r="P458">
        <f t="shared" si="69"/>
        <v>0.12499999999999994</v>
      </c>
      <c r="Q458">
        <f t="shared" si="70"/>
        <v>0.75</v>
      </c>
      <c r="R458">
        <f t="shared" si="71"/>
        <v>0.375</v>
      </c>
    </row>
    <row r="459" spans="1:18">
      <c r="A459" t="s">
        <v>491</v>
      </c>
      <c r="B459" t="s">
        <v>19</v>
      </c>
      <c r="C459" t="str">
        <f t="shared" si="63"/>
        <v>Research &amp; Department</v>
      </c>
      <c r="D459" t="s">
        <v>27</v>
      </c>
      <c r="E459" t="str">
        <f t="shared" si="64"/>
        <v>Technova</v>
      </c>
      <c r="F459">
        <v>22</v>
      </c>
      <c r="G459">
        <v>24000</v>
      </c>
      <c r="H459" s="1">
        <v>43923</v>
      </c>
      <c r="I459">
        <v>4</v>
      </c>
      <c r="J459" t="s">
        <v>21</v>
      </c>
      <c r="K459">
        <f t="shared" si="65"/>
        <v>1</v>
      </c>
      <c r="L459">
        <f t="shared" si="66"/>
        <v>4.1666666666666665E-5</v>
      </c>
      <c r="M459" t="b">
        <f t="shared" si="67"/>
        <v>1</v>
      </c>
      <c r="N459" t="b">
        <f t="shared" si="68"/>
        <v>1</v>
      </c>
      <c r="O459" t="s">
        <v>22</v>
      </c>
      <c r="P459">
        <f t="shared" si="69"/>
        <v>0.12499999999999994</v>
      </c>
      <c r="Q459">
        <f t="shared" si="70"/>
        <v>0.75</v>
      </c>
      <c r="R459">
        <f t="shared" si="71"/>
        <v>0.375</v>
      </c>
    </row>
    <row r="460" spans="1:18">
      <c r="A460" t="s">
        <v>492</v>
      </c>
      <c r="B460" t="s">
        <v>224</v>
      </c>
      <c r="C460" t="str">
        <f t="shared" si="63"/>
        <v>Business Strategy</v>
      </c>
      <c r="D460" t="s">
        <v>20</v>
      </c>
      <c r="E460" t="str">
        <f t="shared" si="64"/>
        <v>Dataverse</v>
      </c>
      <c r="F460">
        <v>8</v>
      </c>
      <c r="G460">
        <v>72000</v>
      </c>
      <c r="H460" s="1">
        <v>43005</v>
      </c>
      <c r="I460">
        <v>4</v>
      </c>
      <c r="J460" t="s">
        <v>174</v>
      </c>
      <c r="K460">
        <f t="shared" si="65"/>
        <v>3</v>
      </c>
      <c r="L460">
        <f t="shared" si="66"/>
        <v>4.1666666666666665E-5</v>
      </c>
      <c r="M460" t="b">
        <f t="shared" si="67"/>
        <v>0</v>
      </c>
      <c r="N460" t="b">
        <f t="shared" si="68"/>
        <v>1</v>
      </c>
      <c r="O460" t="s">
        <v>22</v>
      </c>
      <c r="P460">
        <f t="shared" si="69"/>
        <v>0.12499999999999994</v>
      </c>
      <c r="Q460">
        <f t="shared" si="70"/>
        <v>0.75</v>
      </c>
      <c r="R460">
        <f t="shared" si="71"/>
        <v>0.375</v>
      </c>
    </row>
    <row r="461" spans="1:18">
      <c r="A461" t="s">
        <v>493</v>
      </c>
      <c r="B461" t="s">
        <v>60</v>
      </c>
      <c r="C461" t="str">
        <f t="shared" si="63"/>
        <v>Manufacturing and operations</v>
      </c>
      <c r="D461" t="s">
        <v>20</v>
      </c>
      <c r="E461" t="str">
        <f t="shared" si="64"/>
        <v>Dataverse</v>
      </c>
      <c r="F461">
        <v>8</v>
      </c>
      <c r="G461">
        <v>48000</v>
      </c>
      <c r="H461" s="1">
        <v>41854</v>
      </c>
      <c r="I461">
        <v>4</v>
      </c>
      <c r="J461" t="s">
        <v>57</v>
      </c>
      <c r="K461">
        <f t="shared" si="65"/>
        <v>2</v>
      </c>
      <c r="L461">
        <f t="shared" si="66"/>
        <v>4.1666666666666665E-5</v>
      </c>
      <c r="M461" t="b">
        <f t="shared" si="67"/>
        <v>0</v>
      </c>
      <c r="N461" t="b">
        <f t="shared" si="68"/>
        <v>1</v>
      </c>
      <c r="O461" t="s">
        <v>22</v>
      </c>
      <c r="P461">
        <f t="shared" si="69"/>
        <v>0.12499999999999994</v>
      </c>
      <c r="Q461">
        <f t="shared" si="70"/>
        <v>0.75</v>
      </c>
      <c r="R461">
        <f t="shared" si="71"/>
        <v>0.375</v>
      </c>
    </row>
    <row r="462" spans="1:18">
      <c r="A462" t="s">
        <v>494</v>
      </c>
      <c r="B462" t="s">
        <v>25</v>
      </c>
      <c r="C462" t="str">
        <f t="shared" si="63"/>
        <v>Sales &amp; Marketing</v>
      </c>
      <c r="D462" t="s">
        <v>20</v>
      </c>
      <c r="E462" t="str">
        <f t="shared" si="64"/>
        <v>Dataverse</v>
      </c>
      <c r="F462">
        <v>16</v>
      </c>
      <c r="G462">
        <v>24000</v>
      </c>
      <c r="H462" s="1">
        <v>40084</v>
      </c>
      <c r="I462">
        <v>4</v>
      </c>
      <c r="J462" t="s">
        <v>21</v>
      </c>
      <c r="K462">
        <f t="shared" si="65"/>
        <v>1</v>
      </c>
      <c r="L462">
        <f t="shared" si="66"/>
        <v>4.1666666666666665E-5</v>
      </c>
      <c r="M462" t="b">
        <f t="shared" si="67"/>
        <v>1</v>
      </c>
      <c r="N462" t="b">
        <f t="shared" si="68"/>
        <v>1</v>
      </c>
      <c r="O462" t="s">
        <v>22</v>
      </c>
      <c r="P462">
        <f t="shared" si="69"/>
        <v>0.12499999999999994</v>
      </c>
      <c r="Q462">
        <f t="shared" si="70"/>
        <v>0.75</v>
      </c>
      <c r="R462">
        <f t="shared" si="71"/>
        <v>0.375</v>
      </c>
    </row>
    <row r="463" spans="1:18">
      <c r="A463" t="s">
        <v>495</v>
      </c>
      <c r="B463" t="s">
        <v>60</v>
      </c>
      <c r="C463" t="str">
        <f t="shared" si="63"/>
        <v>Manufacturing and operations</v>
      </c>
      <c r="D463" t="s">
        <v>27</v>
      </c>
      <c r="E463" t="str">
        <f t="shared" si="64"/>
        <v>Technova</v>
      </c>
      <c r="F463">
        <v>20</v>
      </c>
      <c r="G463">
        <v>48000</v>
      </c>
      <c r="H463" s="1">
        <v>40893</v>
      </c>
      <c r="I463">
        <v>4</v>
      </c>
      <c r="J463" t="s">
        <v>57</v>
      </c>
      <c r="K463">
        <f t="shared" si="65"/>
        <v>2</v>
      </c>
      <c r="L463">
        <f t="shared" si="66"/>
        <v>4.1666666666666665E-5</v>
      </c>
      <c r="M463" t="b">
        <f t="shared" si="67"/>
        <v>1</v>
      </c>
      <c r="N463" t="b">
        <f t="shared" si="68"/>
        <v>1</v>
      </c>
      <c r="O463" t="s">
        <v>22</v>
      </c>
      <c r="P463">
        <f t="shared" si="69"/>
        <v>0.12499999999999994</v>
      </c>
      <c r="Q463">
        <f t="shared" si="70"/>
        <v>0.75</v>
      </c>
      <c r="R463">
        <f t="shared" si="71"/>
        <v>0.375</v>
      </c>
    </row>
    <row r="464" spans="1:18">
      <c r="A464" t="s">
        <v>496</v>
      </c>
      <c r="B464" t="s">
        <v>25</v>
      </c>
      <c r="C464" t="str">
        <f t="shared" si="63"/>
        <v>Sales &amp; Marketing</v>
      </c>
      <c r="D464" t="s">
        <v>20</v>
      </c>
      <c r="E464" t="str">
        <f t="shared" si="64"/>
        <v>Dataverse</v>
      </c>
      <c r="F464">
        <v>3</v>
      </c>
      <c r="G464">
        <v>24000</v>
      </c>
      <c r="H464" s="1">
        <v>39773</v>
      </c>
      <c r="I464">
        <v>4</v>
      </c>
      <c r="J464" t="s">
        <v>21</v>
      </c>
      <c r="K464">
        <f t="shared" si="65"/>
        <v>1</v>
      </c>
      <c r="L464">
        <f t="shared" si="66"/>
        <v>4.1666666666666665E-5</v>
      </c>
      <c r="M464" t="b">
        <f t="shared" si="67"/>
        <v>0</v>
      </c>
      <c r="N464" t="b">
        <f t="shared" si="68"/>
        <v>0</v>
      </c>
      <c r="O464" t="s">
        <v>22</v>
      </c>
      <c r="P464">
        <f t="shared" si="69"/>
        <v>0.12499999999999994</v>
      </c>
      <c r="Q464">
        <f t="shared" si="70"/>
        <v>0.75</v>
      </c>
      <c r="R464">
        <f t="shared" si="71"/>
        <v>0.375</v>
      </c>
    </row>
    <row r="465" spans="1:18">
      <c r="A465" t="s">
        <v>497</v>
      </c>
      <c r="B465" t="s">
        <v>67</v>
      </c>
      <c r="C465" t="str">
        <f t="shared" si="63"/>
        <v>Quality Assurance</v>
      </c>
      <c r="D465" t="s">
        <v>20</v>
      </c>
      <c r="E465" t="str">
        <f t="shared" si="64"/>
        <v>Dataverse</v>
      </c>
      <c r="F465">
        <v>7</v>
      </c>
      <c r="G465">
        <v>48000</v>
      </c>
      <c r="H465" s="1">
        <v>44690</v>
      </c>
      <c r="I465">
        <v>4</v>
      </c>
      <c r="J465" t="s">
        <v>57</v>
      </c>
      <c r="K465">
        <f t="shared" si="65"/>
        <v>2</v>
      </c>
      <c r="L465">
        <f t="shared" si="66"/>
        <v>4.1666666666666665E-5</v>
      </c>
      <c r="M465" t="b">
        <f t="shared" si="67"/>
        <v>0</v>
      </c>
      <c r="N465" t="b">
        <f t="shared" si="68"/>
        <v>1</v>
      </c>
      <c r="O465" t="s">
        <v>22</v>
      </c>
      <c r="P465">
        <f t="shared" si="69"/>
        <v>0.12499999999999994</v>
      </c>
      <c r="Q465">
        <f t="shared" si="70"/>
        <v>0.75</v>
      </c>
      <c r="R465">
        <f t="shared" si="71"/>
        <v>0.375</v>
      </c>
    </row>
    <row r="466" spans="1:18">
      <c r="A466" t="s">
        <v>498</v>
      </c>
      <c r="B466" t="s">
        <v>74</v>
      </c>
      <c r="C466" t="str">
        <f t="shared" si="63"/>
        <v>Human Resources</v>
      </c>
      <c r="D466" t="s">
        <v>27</v>
      </c>
      <c r="E466" t="str">
        <f t="shared" si="64"/>
        <v>Technova</v>
      </c>
      <c r="F466">
        <v>12</v>
      </c>
      <c r="G466">
        <v>38000</v>
      </c>
      <c r="H466" s="1">
        <v>44195</v>
      </c>
      <c r="I466">
        <v>3</v>
      </c>
      <c r="J466" t="s">
        <v>57</v>
      </c>
      <c r="K466">
        <f t="shared" si="65"/>
        <v>2</v>
      </c>
      <c r="L466">
        <f t="shared" si="66"/>
        <v>5.2631578947368424E-5</v>
      </c>
      <c r="M466" t="b">
        <f t="shared" si="67"/>
        <v>0</v>
      </c>
      <c r="N466" t="b">
        <f t="shared" si="68"/>
        <v>1</v>
      </c>
      <c r="O466" t="s">
        <v>22</v>
      </c>
      <c r="P466">
        <f t="shared" si="69"/>
        <v>0.28947368421052633</v>
      </c>
      <c r="Q466">
        <f t="shared" si="70"/>
        <v>0.5</v>
      </c>
      <c r="R466">
        <f t="shared" si="71"/>
        <v>0.37368421052631584</v>
      </c>
    </row>
    <row r="467" spans="1:18">
      <c r="A467" t="s">
        <v>499</v>
      </c>
      <c r="B467" t="s">
        <v>74</v>
      </c>
      <c r="C467" t="str">
        <f t="shared" si="63"/>
        <v>Human Resources</v>
      </c>
      <c r="D467" t="s">
        <v>27</v>
      </c>
      <c r="E467" t="str">
        <f t="shared" si="64"/>
        <v>Technova</v>
      </c>
      <c r="F467">
        <v>20</v>
      </c>
      <c r="G467">
        <v>38000</v>
      </c>
      <c r="H467" s="1">
        <v>40363</v>
      </c>
      <c r="I467">
        <v>3</v>
      </c>
      <c r="J467" t="s">
        <v>57</v>
      </c>
      <c r="K467">
        <f t="shared" si="65"/>
        <v>2</v>
      </c>
      <c r="L467">
        <f t="shared" si="66"/>
        <v>5.2631578947368424E-5</v>
      </c>
      <c r="M467" t="b">
        <f t="shared" si="67"/>
        <v>1</v>
      </c>
      <c r="N467" t="b">
        <f t="shared" si="68"/>
        <v>1</v>
      </c>
      <c r="O467" t="s">
        <v>22</v>
      </c>
      <c r="P467">
        <f t="shared" si="69"/>
        <v>0.28947368421052633</v>
      </c>
      <c r="Q467">
        <f t="shared" si="70"/>
        <v>0.5</v>
      </c>
      <c r="R467">
        <f t="shared" si="71"/>
        <v>0.37368421052631584</v>
      </c>
    </row>
    <row r="468" spans="1:18">
      <c r="A468" t="s">
        <v>500</v>
      </c>
      <c r="B468" t="s">
        <v>56</v>
      </c>
      <c r="C468" t="str">
        <f t="shared" si="63"/>
        <v>IT &amp; Systems</v>
      </c>
      <c r="D468" t="s">
        <v>27</v>
      </c>
      <c r="E468" t="str">
        <f t="shared" si="64"/>
        <v>Technova</v>
      </c>
      <c r="F468">
        <v>4</v>
      </c>
      <c r="G468">
        <v>38000</v>
      </c>
      <c r="H468" s="1">
        <v>41201</v>
      </c>
      <c r="I468">
        <v>3</v>
      </c>
      <c r="J468" t="s">
        <v>57</v>
      </c>
      <c r="K468">
        <f t="shared" si="65"/>
        <v>2</v>
      </c>
      <c r="L468">
        <f t="shared" si="66"/>
        <v>5.2631578947368424E-5</v>
      </c>
      <c r="M468" t="b">
        <f t="shared" si="67"/>
        <v>0</v>
      </c>
      <c r="N468" t="b">
        <f t="shared" si="68"/>
        <v>0</v>
      </c>
      <c r="O468" t="s">
        <v>22</v>
      </c>
      <c r="P468">
        <f t="shared" si="69"/>
        <v>0.28947368421052633</v>
      </c>
      <c r="Q468">
        <f t="shared" si="70"/>
        <v>0.5</v>
      </c>
      <c r="R468">
        <f t="shared" si="71"/>
        <v>0.37368421052631584</v>
      </c>
    </row>
    <row r="469" spans="1:18">
      <c r="A469" t="s">
        <v>501</v>
      </c>
      <c r="B469" t="s">
        <v>56</v>
      </c>
      <c r="C469" t="str">
        <f t="shared" si="63"/>
        <v>IT &amp; Systems</v>
      </c>
      <c r="D469" t="s">
        <v>27</v>
      </c>
      <c r="E469" t="str">
        <f t="shared" si="64"/>
        <v>Technova</v>
      </c>
      <c r="F469">
        <v>2</v>
      </c>
      <c r="G469">
        <v>38000</v>
      </c>
      <c r="H469" s="1">
        <v>40526</v>
      </c>
      <c r="I469">
        <v>3</v>
      </c>
      <c r="J469" t="s">
        <v>57</v>
      </c>
      <c r="K469">
        <f t="shared" si="65"/>
        <v>2</v>
      </c>
      <c r="L469">
        <f t="shared" si="66"/>
        <v>5.2631578947368424E-5</v>
      </c>
      <c r="M469" t="b">
        <f t="shared" si="67"/>
        <v>0</v>
      </c>
      <c r="N469" t="b">
        <f t="shared" si="68"/>
        <v>0</v>
      </c>
      <c r="O469" t="s">
        <v>22</v>
      </c>
      <c r="P469">
        <f t="shared" si="69"/>
        <v>0.28947368421052633</v>
      </c>
      <c r="Q469">
        <f t="shared" si="70"/>
        <v>0.5</v>
      </c>
      <c r="R469">
        <f t="shared" si="71"/>
        <v>0.37368421052631584</v>
      </c>
    </row>
    <row r="470" spans="1:18">
      <c r="A470" t="s">
        <v>502</v>
      </c>
      <c r="B470" t="s">
        <v>56</v>
      </c>
      <c r="C470" t="str">
        <f t="shared" si="63"/>
        <v>IT &amp; Systems</v>
      </c>
      <c r="D470" t="s">
        <v>20</v>
      </c>
      <c r="E470" t="str">
        <f t="shared" si="64"/>
        <v>Dataverse</v>
      </c>
      <c r="F470">
        <v>15</v>
      </c>
      <c r="G470">
        <v>38000</v>
      </c>
      <c r="H470" s="1">
        <v>43571</v>
      </c>
      <c r="I470">
        <v>3</v>
      </c>
      <c r="J470" t="s">
        <v>57</v>
      </c>
      <c r="K470">
        <f t="shared" si="65"/>
        <v>2</v>
      </c>
      <c r="L470">
        <f t="shared" si="66"/>
        <v>5.2631578947368424E-5</v>
      </c>
      <c r="M470" t="b">
        <f t="shared" si="67"/>
        <v>0</v>
      </c>
      <c r="N470" t="b">
        <f t="shared" si="68"/>
        <v>1</v>
      </c>
      <c r="O470" t="s">
        <v>22</v>
      </c>
      <c r="P470">
        <f t="shared" si="69"/>
        <v>0.28947368421052633</v>
      </c>
      <c r="Q470">
        <f t="shared" si="70"/>
        <v>0.5</v>
      </c>
      <c r="R470">
        <f t="shared" si="71"/>
        <v>0.37368421052631584</v>
      </c>
    </row>
    <row r="471" spans="1:18">
      <c r="A471" t="s">
        <v>503</v>
      </c>
      <c r="B471" t="s">
        <v>60</v>
      </c>
      <c r="C471" t="str">
        <f t="shared" si="63"/>
        <v>Manufacturing and operations</v>
      </c>
      <c r="D471" t="s">
        <v>20</v>
      </c>
      <c r="E471" t="str">
        <f t="shared" si="64"/>
        <v>Dataverse</v>
      </c>
      <c r="F471">
        <v>14</v>
      </c>
      <c r="G471">
        <v>38000</v>
      </c>
      <c r="H471" s="1">
        <v>41066</v>
      </c>
      <c r="I471">
        <v>3</v>
      </c>
      <c r="J471" t="s">
        <v>57</v>
      </c>
      <c r="K471">
        <f t="shared" si="65"/>
        <v>2</v>
      </c>
      <c r="L471">
        <f t="shared" si="66"/>
        <v>5.2631578947368424E-5</v>
      </c>
      <c r="M471" t="b">
        <f t="shared" si="67"/>
        <v>0</v>
      </c>
      <c r="N471" t="b">
        <f t="shared" si="68"/>
        <v>1</v>
      </c>
      <c r="O471" t="s">
        <v>22</v>
      </c>
      <c r="P471">
        <f t="shared" si="69"/>
        <v>0.28947368421052633</v>
      </c>
      <c r="Q471">
        <f t="shared" si="70"/>
        <v>0.5</v>
      </c>
      <c r="R471">
        <f t="shared" si="71"/>
        <v>0.37368421052631584</v>
      </c>
    </row>
    <row r="472" spans="1:18">
      <c r="A472" t="s">
        <v>504</v>
      </c>
      <c r="B472" t="s">
        <v>60</v>
      </c>
      <c r="C472" t="str">
        <f t="shared" si="63"/>
        <v>Manufacturing and operations</v>
      </c>
      <c r="D472" t="s">
        <v>27</v>
      </c>
      <c r="E472" t="str">
        <f t="shared" si="64"/>
        <v>Technova</v>
      </c>
      <c r="F472">
        <v>11</v>
      </c>
      <c r="G472">
        <v>38000</v>
      </c>
      <c r="H472" s="1">
        <v>40431</v>
      </c>
      <c r="I472">
        <v>3</v>
      </c>
      <c r="J472" t="s">
        <v>57</v>
      </c>
      <c r="K472">
        <f t="shared" si="65"/>
        <v>2</v>
      </c>
      <c r="L472">
        <f t="shared" si="66"/>
        <v>5.2631578947368424E-5</v>
      </c>
      <c r="M472" t="b">
        <f t="shared" si="67"/>
        <v>0</v>
      </c>
      <c r="N472" t="b">
        <f t="shared" si="68"/>
        <v>1</v>
      </c>
      <c r="O472" t="s">
        <v>22</v>
      </c>
      <c r="P472">
        <f t="shared" si="69"/>
        <v>0.28947368421052633</v>
      </c>
      <c r="Q472">
        <f t="shared" si="70"/>
        <v>0.5</v>
      </c>
      <c r="R472">
        <f t="shared" si="71"/>
        <v>0.37368421052631584</v>
      </c>
    </row>
    <row r="473" spans="1:18">
      <c r="A473" t="s">
        <v>505</v>
      </c>
      <c r="B473" t="s">
        <v>60</v>
      </c>
      <c r="C473" t="str">
        <f t="shared" si="63"/>
        <v>Manufacturing and operations</v>
      </c>
      <c r="D473" t="s">
        <v>27</v>
      </c>
      <c r="E473" t="str">
        <f t="shared" si="64"/>
        <v>Technova</v>
      </c>
      <c r="F473">
        <v>2</v>
      </c>
      <c r="G473">
        <v>38000</v>
      </c>
      <c r="H473" s="1">
        <v>38284</v>
      </c>
      <c r="I473">
        <v>3</v>
      </c>
      <c r="J473" t="s">
        <v>57</v>
      </c>
      <c r="K473">
        <f t="shared" si="65"/>
        <v>2</v>
      </c>
      <c r="L473">
        <f t="shared" si="66"/>
        <v>5.2631578947368424E-5</v>
      </c>
      <c r="M473" t="b">
        <f t="shared" si="67"/>
        <v>0</v>
      </c>
      <c r="N473" t="b">
        <f t="shared" si="68"/>
        <v>0</v>
      </c>
      <c r="O473" t="s">
        <v>22</v>
      </c>
      <c r="P473">
        <f t="shared" si="69"/>
        <v>0.28947368421052633</v>
      </c>
      <c r="Q473">
        <f t="shared" si="70"/>
        <v>0.5</v>
      </c>
      <c r="R473">
        <f t="shared" si="71"/>
        <v>0.37368421052631584</v>
      </c>
    </row>
    <row r="474" spans="1:18">
      <c r="A474" t="s">
        <v>506</v>
      </c>
      <c r="B474" t="s">
        <v>25</v>
      </c>
      <c r="C474" t="str">
        <f t="shared" si="63"/>
        <v>Sales &amp; Marketing</v>
      </c>
      <c r="D474" t="s">
        <v>20</v>
      </c>
      <c r="E474" t="str">
        <f t="shared" si="64"/>
        <v>Dataverse</v>
      </c>
      <c r="F474">
        <v>19</v>
      </c>
      <c r="G474">
        <v>19000</v>
      </c>
      <c r="H474" s="1">
        <v>42897</v>
      </c>
      <c r="I474">
        <v>3</v>
      </c>
      <c r="J474" t="s">
        <v>21</v>
      </c>
      <c r="K474">
        <f t="shared" si="65"/>
        <v>1</v>
      </c>
      <c r="L474">
        <f t="shared" si="66"/>
        <v>5.2631578947368424E-5</v>
      </c>
      <c r="M474" t="b">
        <f t="shared" si="67"/>
        <v>1</v>
      </c>
      <c r="N474" t="b">
        <f t="shared" si="68"/>
        <v>1</v>
      </c>
      <c r="O474" t="s">
        <v>22</v>
      </c>
      <c r="P474">
        <f t="shared" si="69"/>
        <v>0.28947368421052633</v>
      </c>
      <c r="Q474">
        <f t="shared" si="70"/>
        <v>0.5</v>
      </c>
      <c r="R474">
        <f t="shared" si="71"/>
        <v>0.37368421052631584</v>
      </c>
    </row>
    <row r="475" spans="1:18">
      <c r="A475" t="s">
        <v>507</v>
      </c>
      <c r="B475" t="s">
        <v>67</v>
      </c>
      <c r="C475" t="str">
        <f t="shared" si="63"/>
        <v>Quality Assurance</v>
      </c>
      <c r="D475" t="s">
        <v>27</v>
      </c>
      <c r="E475" t="str">
        <f t="shared" si="64"/>
        <v>Technova</v>
      </c>
      <c r="F475">
        <v>12</v>
      </c>
      <c r="G475">
        <v>38000</v>
      </c>
      <c r="H475" s="1">
        <v>38877</v>
      </c>
      <c r="I475">
        <v>3</v>
      </c>
      <c r="J475" t="s">
        <v>57</v>
      </c>
      <c r="K475">
        <f t="shared" si="65"/>
        <v>2</v>
      </c>
      <c r="L475">
        <f t="shared" si="66"/>
        <v>5.2631578947368424E-5</v>
      </c>
      <c r="M475" t="b">
        <f t="shared" si="67"/>
        <v>0</v>
      </c>
      <c r="N475" t="b">
        <f t="shared" si="68"/>
        <v>1</v>
      </c>
      <c r="O475" t="s">
        <v>22</v>
      </c>
      <c r="P475">
        <f t="shared" si="69"/>
        <v>0.28947368421052633</v>
      </c>
      <c r="Q475">
        <f t="shared" si="70"/>
        <v>0.5</v>
      </c>
      <c r="R475">
        <f t="shared" si="71"/>
        <v>0.37368421052631584</v>
      </c>
    </row>
    <row r="476" spans="1:18">
      <c r="A476" t="s">
        <v>508</v>
      </c>
      <c r="B476" t="s">
        <v>70</v>
      </c>
      <c r="C476" t="str">
        <f t="shared" si="63"/>
        <v>Customer Experience</v>
      </c>
      <c r="D476" t="s">
        <v>20</v>
      </c>
      <c r="E476" t="str">
        <f t="shared" si="64"/>
        <v>Dataverse</v>
      </c>
      <c r="F476">
        <v>13</v>
      </c>
      <c r="G476">
        <v>49000</v>
      </c>
      <c r="H476" s="1">
        <v>45181</v>
      </c>
      <c r="I476">
        <v>4</v>
      </c>
      <c r="J476" t="s">
        <v>57</v>
      </c>
      <c r="K476">
        <f t="shared" si="65"/>
        <v>2</v>
      </c>
      <c r="L476">
        <f t="shared" si="66"/>
        <v>4.0816326530612245E-5</v>
      </c>
      <c r="M476" t="b">
        <f t="shared" si="67"/>
        <v>0</v>
      </c>
      <c r="N476" t="b">
        <f t="shared" si="68"/>
        <v>1</v>
      </c>
      <c r="O476" t="s">
        <v>22</v>
      </c>
      <c r="P476">
        <f t="shared" si="69"/>
        <v>0.11224489795918365</v>
      </c>
      <c r="Q476">
        <f t="shared" si="70"/>
        <v>0.75</v>
      </c>
      <c r="R476">
        <f t="shared" si="71"/>
        <v>0.36734693877551022</v>
      </c>
    </row>
    <row r="477" spans="1:18">
      <c r="A477" t="s">
        <v>509</v>
      </c>
      <c r="B477" t="s">
        <v>74</v>
      </c>
      <c r="C477" t="str">
        <f t="shared" si="63"/>
        <v>Human Resources</v>
      </c>
      <c r="D477" t="s">
        <v>27</v>
      </c>
      <c r="E477" t="str">
        <f t="shared" si="64"/>
        <v>Technova</v>
      </c>
      <c r="F477">
        <v>1</v>
      </c>
      <c r="G477">
        <v>49000</v>
      </c>
      <c r="H477" s="1">
        <v>42290</v>
      </c>
      <c r="I477">
        <v>4</v>
      </c>
      <c r="J477" t="s">
        <v>57</v>
      </c>
      <c r="K477">
        <f t="shared" si="65"/>
        <v>2</v>
      </c>
      <c r="L477">
        <f t="shared" si="66"/>
        <v>4.0816326530612245E-5</v>
      </c>
      <c r="M477" t="b">
        <f t="shared" si="67"/>
        <v>0</v>
      </c>
      <c r="N477" t="b">
        <f t="shared" si="68"/>
        <v>0</v>
      </c>
      <c r="O477" t="s">
        <v>22</v>
      </c>
      <c r="P477">
        <f t="shared" si="69"/>
        <v>0.11224489795918365</v>
      </c>
      <c r="Q477">
        <f t="shared" si="70"/>
        <v>0.75</v>
      </c>
      <c r="R477">
        <f t="shared" si="71"/>
        <v>0.36734693877551022</v>
      </c>
    </row>
    <row r="478" spans="1:18">
      <c r="A478" t="s">
        <v>510</v>
      </c>
      <c r="B478" t="s">
        <v>74</v>
      </c>
      <c r="C478" t="str">
        <f t="shared" si="63"/>
        <v>Human Resources</v>
      </c>
      <c r="D478" t="s">
        <v>27</v>
      </c>
      <c r="E478" t="str">
        <f t="shared" si="64"/>
        <v>Technova</v>
      </c>
      <c r="F478">
        <v>3</v>
      </c>
      <c r="G478">
        <v>49000</v>
      </c>
      <c r="H478" s="1">
        <v>39221</v>
      </c>
      <c r="I478">
        <v>4</v>
      </c>
      <c r="J478" t="s">
        <v>57</v>
      </c>
      <c r="K478">
        <f t="shared" si="65"/>
        <v>2</v>
      </c>
      <c r="L478">
        <f t="shared" si="66"/>
        <v>4.0816326530612245E-5</v>
      </c>
      <c r="M478" t="b">
        <f t="shared" si="67"/>
        <v>0</v>
      </c>
      <c r="N478" t="b">
        <f t="shared" si="68"/>
        <v>0</v>
      </c>
      <c r="O478" t="s">
        <v>22</v>
      </c>
      <c r="P478">
        <f t="shared" si="69"/>
        <v>0.11224489795918365</v>
      </c>
      <c r="Q478">
        <f t="shared" si="70"/>
        <v>0.75</v>
      </c>
      <c r="R478">
        <f t="shared" si="71"/>
        <v>0.36734693877551022</v>
      </c>
    </row>
    <row r="479" spans="1:18">
      <c r="A479" t="s">
        <v>511</v>
      </c>
      <c r="B479" t="s">
        <v>56</v>
      </c>
      <c r="C479" t="str">
        <f t="shared" si="63"/>
        <v>IT &amp; Systems</v>
      </c>
      <c r="D479" t="s">
        <v>27</v>
      </c>
      <c r="E479" t="str">
        <f t="shared" si="64"/>
        <v>Technova</v>
      </c>
      <c r="F479">
        <v>12</v>
      </c>
      <c r="G479">
        <v>49000</v>
      </c>
      <c r="H479" s="1">
        <v>38831</v>
      </c>
      <c r="I479">
        <v>4</v>
      </c>
      <c r="J479" t="s">
        <v>57</v>
      </c>
      <c r="K479">
        <f t="shared" si="65"/>
        <v>2</v>
      </c>
      <c r="L479">
        <f t="shared" si="66"/>
        <v>4.0816326530612245E-5</v>
      </c>
      <c r="M479" t="b">
        <f t="shared" si="67"/>
        <v>0</v>
      </c>
      <c r="N479" t="b">
        <f t="shared" si="68"/>
        <v>1</v>
      </c>
      <c r="O479" t="s">
        <v>22</v>
      </c>
      <c r="P479">
        <f t="shared" si="69"/>
        <v>0.11224489795918365</v>
      </c>
      <c r="Q479">
        <f t="shared" si="70"/>
        <v>0.75</v>
      </c>
      <c r="R479">
        <f t="shared" si="71"/>
        <v>0.36734693877551022</v>
      </c>
    </row>
    <row r="480" spans="1:18">
      <c r="A480" t="s">
        <v>512</v>
      </c>
      <c r="B480" t="s">
        <v>60</v>
      </c>
      <c r="C480" t="str">
        <f t="shared" si="63"/>
        <v>Manufacturing and operations</v>
      </c>
      <c r="D480" t="s">
        <v>20</v>
      </c>
      <c r="E480" t="str">
        <f t="shared" si="64"/>
        <v>Dataverse</v>
      </c>
      <c r="F480">
        <v>14</v>
      </c>
      <c r="G480">
        <v>49000</v>
      </c>
      <c r="H480" s="1">
        <v>40600</v>
      </c>
      <c r="I480">
        <v>4</v>
      </c>
      <c r="J480" t="s">
        <v>57</v>
      </c>
      <c r="K480">
        <f t="shared" si="65"/>
        <v>2</v>
      </c>
      <c r="L480">
        <f t="shared" si="66"/>
        <v>4.0816326530612245E-5</v>
      </c>
      <c r="M480" t="b">
        <f t="shared" si="67"/>
        <v>0</v>
      </c>
      <c r="N480" t="b">
        <f t="shared" si="68"/>
        <v>1</v>
      </c>
      <c r="O480" t="s">
        <v>22</v>
      </c>
      <c r="P480">
        <f t="shared" si="69"/>
        <v>0.11224489795918365</v>
      </c>
      <c r="Q480">
        <f t="shared" si="70"/>
        <v>0.75</v>
      </c>
      <c r="R480">
        <f t="shared" si="71"/>
        <v>0.36734693877551022</v>
      </c>
    </row>
    <row r="481" spans="1:18">
      <c r="A481" t="s">
        <v>513</v>
      </c>
      <c r="B481" t="s">
        <v>60</v>
      </c>
      <c r="C481" t="str">
        <f t="shared" si="63"/>
        <v>Manufacturing and operations</v>
      </c>
      <c r="D481" t="s">
        <v>20</v>
      </c>
      <c r="E481" t="str">
        <f t="shared" si="64"/>
        <v>Dataverse</v>
      </c>
      <c r="F481">
        <v>5</v>
      </c>
      <c r="G481">
        <v>49000</v>
      </c>
      <c r="H481" s="1">
        <v>40394</v>
      </c>
      <c r="I481">
        <v>4</v>
      </c>
      <c r="J481" t="s">
        <v>57</v>
      </c>
      <c r="K481">
        <f t="shared" si="65"/>
        <v>2</v>
      </c>
      <c r="L481">
        <f t="shared" si="66"/>
        <v>4.0816326530612245E-5</v>
      </c>
      <c r="M481" t="b">
        <f t="shared" si="67"/>
        <v>0</v>
      </c>
      <c r="N481" t="b">
        <f t="shared" si="68"/>
        <v>0</v>
      </c>
      <c r="O481" t="s">
        <v>22</v>
      </c>
      <c r="P481">
        <f t="shared" si="69"/>
        <v>0.11224489795918365</v>
      </c>
      <c r="Q481">
        <f t="shared" si="70"/>
        <v>0.75</v>
      </c>
      <c r="R481">
        <f t="shared" si="71"/>
        <v>0.36734693877551022</v>
      </c>
    </row>
    <row r="482" spans="1:18">
      <c r="A482" t="s">
        <v>514</v>
      </c>
      <c r="B482" t="s">
        <v>204</v>
      </c>
      <c r="C482" t="str">
        <f t="shared" si="63"/>
        <v>Administrative Services</v>
      </c>
      <c r="D482" t="s">
        <v>20</v>
      </c>
      <c r="E482" t="str">
        <f t="shared" si="64"/>
        <v>Dataverse</v>
      </c>
      <c r="F482">
        <v>1</v>
      </c>
      <c r="G482">
        <v>74000</v>
      </c>
      <c r="H482" s="1">
        <v>40228</v>
      </c>
      <c r="I482">
        <v>4</v>
      </c>
      <c r="J482" t="s">
        <v>174</v>
      </c>
      <c r="K482">
        <f t="shared" si="65"/>
        <v>3</v>
      </c>
      <c r="L482">
        <f t="shared" si="66"/>
        <v>4.0540540540540538E-5</v>
      </c>
      <c r="M482" t="b">
        <f t="shared" si="67"/>
        <v>0</v>
      </c>
      <c r="N482" t="b">
        <f t="shared" si="68"/>
        <v>0</v>
      </c>
      <c r="O482" t="s">
        <v>22</v>
      </c>
      <c r="P482">
        <f t="shared" si="69"/>
        <v>0.10810810810810804</v>
      </c>
      <c r="Q482">
        <f t="shared" si="70"/>
        <v>0.75</v>
      </c>
      <c r="R482">
        <f t="shared" si="71"/>
        <v>0.36486486486486486</v>
      </c>
    </row>
    <row r="483" spans="1:18">
      <c r="A483" t="s">
        <v>515</v>
      </c>
      <c r="B483" t="s">
        <v>204</v>
      </c>
      <c r="C483" t="str">
        <f t="shared" si="63"/>
        <v>Administrative Services</v>
      </c>
      <c r="D483" t="s">
        <v>20</v>
      </c>
      <c r="E483" t="str">
        <f t="shared" si="64"/>
        <v>Dataverse</v>
      </c>
      <c r="F483">
        <v>3</v>
      </c>
      <c r="G483">
        <v>74000</v>
      </c>
      <c r="H483" s="1">
        <v>40309</v>
      </c>
      <c r="I483">
        <v>4</v>
      </c>
      <c r="J483" t="s">
        <v>174</v>
      </c>
      <c r="K483">
        <f t="shared" si="65"/>
        <v>3</v>
      </c>
      <c r="L483">
        <f t="shared" si="66"/>
        <v>4.0540540540540538E-5</v>
      </c>
      <c r="M483" t="b">
        <f t="shared" si="67"/>
        <v>0</v>
      </c>
      <c r="N483" t="b">
        <f t="shared" si="68"/>
        <v>0</v>
      </c>
      <c r="O483" t="s">
        <v>22</v>
      </c>
      <c r="P483">
        <f t="shared" si="69"/>
        <v>0.10810810810810804</v>
      </c>
      <c r="Q483">
        <f t="shared" si="70"/>
        <v>0.75</v>
      </c>
      <c r="R483">
        <f t="shared" si="71"/>
        <v>0.36486486486486486</v>
      </c>
    </row>
    <row r="484" spans="1:18">
      <c r="A484" t="s">
        <v>516</v>
      </c>
      <c r="B484" t="s">
        <v>70</v>
      </c>
      <c r="C484" t="str">
        <f t="shared" si="63"/>
        <v>Customer Experience</v>
      </c>
      <c r="D484" t="s">
        <v>27</v>
      </c>
      <c r="E484" t="str">
        <f t="shared" si="64"/>
        <v>Technova</v>
      </c>
      <c r="F484">
        <v>11</v>
      </c>
      <c r="G484">
        <v>32000</v>
      </c>
      <c r="H484" s="1">
        <v>43274</v>
      </c>
      <c r="I484">
        <v>2</v>
      </c>
      <c r="J484" t="s">
        <v>57</v>
      </c>
      <c r="K484">
        <f t="shared" si="65"/>
        <v>2</v>
      </c>
      <c r="L484">
        <f t="shared" si="66"/>
        <v>6.2500000000000001E-5</v>
      </c>
      <c r="M484" t="b">
        <f t="shared" si="67"/>
        <v>0</v>
      </c>
      <c r="N484" t="b">
        <f t="shared" si="68"/>
        <v>1</v>
      </c>
      <c r="O484" t="s">
        <v>22</v>
      </c>
      <c r="P484">
        <f t="shared" si="69"/>
        <v>0.4375</v>
      </c>
      <c r="Q484">
        <f t="shared" si="70"/>
        <v>0.25</v>
      </c>
      <c r="R484">
        <f t="shared" si="71"/>
        <v>0.36250000000000004</v>
      </c>
    </row>
    <row r="485" spans="1:18">
      <c r="A485" t="s">
        <v>517</v>
      </c>
      <c r="B485" t="s">
        <v>74</v>
      </c>
      <c r="C485" t="str">
        <f t="shared" si="63"/>
        <v>Human Resources</v>
      </c>
      <c r="D485" t="s">
        <v>27</v>
      </c>
      <c r="E485" t="str">
        <f t="shared" si="64"/>
        <v>Technova</v>
      </c>
      <c r="F485">
        <v>24</v>
      </c>
      <c r="G485">
        <v>32000</v>
      </c>
      <c r="H485" s="1">
        <v>38629</v>
      </c>
      <c r="I485">
        <v>2</v>
      </c>
      <c r="J485" t="s">
        <v>57</v>
      </c>
      <c r="K485">
        <f t="shared" si="65"/>
        <v>2</v>
      </c>
      <c r="L485">
        <f t="shared" si="66"/>
        <v>6.2500000000000001E-5</v>
      </c>
      <c r="M485" t="b">
        <f t="shared" si="67"/>
        <v>1</v>
      </c>
      <c r="N485" t="b">
        <f t="shared" si="68"/>
        <v>1</v>
      </c>
      <c r="O485" t="s">
        <v>22</v>
      </c>
      <c r="P485">
        <f t="shared" si="69"/>
        <v>0.4375</v>
      </c>
      <c r="Q485">
        <f t="shared" si="70"/>
        <v>0.25</v>
      </c>
      <c r="R485">
        <f t="shared" si="71"/>
        <v>0.36250000000000004</v>
      </c>
    </row>
    <row r="486" spans="1:18">
      <c r="A486" t="s">
        <v>518</v>
      </c>
      <c r="B486" t="s">
        <v>56</v>
      </c>
      <c r="C486" t="str">
        <f t="shared" si="63"/>
        <v>IT &amp; Systems</v>
      </c>
      <c r="D486" t="s">
        <v>20</v>
      </c>
      <c r="E486" t="str">
        <f t="shared" si="64"/>
        <v>Dataverse</v>
      </c>
      <c r="F486">
        <v>15</v>
      </c>
      <c r="G486">
        <v>32000</v>
      </c>
      <c r="H486" s="1">
        <v>44478</v>
      </c>
      <c r="I486">
        <v>2</v>
      </c>
      <c r="J486" t="s">
        <v>57</v>
      </c>
      <c r="K486">
        <f t="shared" si="65"/>
        <v>2</v>
      </c>
      <c r="L486">
        <f t="shared" si="66"/>
        <v>6.2500000000000001E-5</v>
      </c>
      <c r="M486" t="b">
        <f t="shared" si="67"/>
        <v>0</v>
      </c>
      <c r="N486" t="b">
        <f t="shared" si="68"/>
        <v>1</v>
      </c>
      <c r="O486" t="s">
        <v>22</v>
      </c>
      <c r="P486">
        <f t="shared" si="69"/>
        <v>0.4375</v>
      </c>
      <c r="Q486">
        <f t="shared" si="70"/>
        <v>0.25</v>
      </c>
      <c r="R486">
        <f t="shared" si="71"/>
        <v>0.36250000000000004</v>
      </c>
    </row>
    <row r="487" spans="1:18">
      <c r="A487" t="s">
        <v>519</v>
      </c>
      <c r="B487" t="s">
        <v>56</v>
      </c>
      <c r="C487" t="str">
        <f t="shared" si="63"/>
        <v>IT &amp; Systems</v>
      </c>
      <c r="D487" t="s">
        <v>20</v>
      </c>
      <c r="E487" t="str">
        <f t="shared" si="64"/>
        <v>Dataverse</v>
      </c>
      <c r="F487">
        <v>14</v>
      </c>
      <c r="G487">
        <v>32000</v>
      </c>
      <c r="H487" s="1">
        <v>42356</v>
      </c>
      <c r="I487">
        <v>2</v>
      </c>
      <c r="J487" t="s">
        <v>57</v>
      </c>
      <c r="K487">
        <f t="shared" si="65"/>
        <v>2</v>
      </c>
      <c r="L487">
        <f t="shared" si="66"/>
        <v>6.2500000000000001E-5</v>
      </c>
      <c r="M487" t="b">
        <f t="shared" si="67"/>
        <v>0</v>
      </c>
      <c r="N487" t="b">
        <f t="shared" si="68"/>
        <v>1</v>
      </c>
      <c r="O487" t="s">
        <v>22</v>
      </c>
      <c r="P487">
        <f t="shared" si="69"/>
        <v>0.4375</v>
      </c>
      <c r="Q487">
        <f t="shared" si="70"/>
        <v>0.25</v>
      </c>
      <c r="R487">
        <f t="shared" si="71"/>
        <v>0.36250000000000004</v>
      </c>
    </row>
    <row r="488" spans="1:18">
      <c r="A488" t="s">
        <v>520</v>
      </c>
      <c r="B488" t="s">
        <v>56</v>
      </c>
      <c r="C488" t="str">
        <f t="shared" si="63"/>
        <v>IT &amp; Systems</v>
      </c>
      <c r="D488" t="s">
        <v>27</v>
      </c>
      <c r="E488" t="str">
        <f t="shared" si="64"/>
        <v>Technova</v>
      </c>
      <c r="F488">
        <v>13</v>
      </c>
      <c r="G488">
        <v>32000</v>
      </c>
      <c r="H488" s="1">
        <v>43433</v>
      </c>
      <c r="I488">
        <v>2</v>
      </c>
      <c r="J488" t="s">
        <v>57</v>
      </c>
      <c r="K488">
        <f t="shared" si="65"/>
        <v>2</v>
      </c>
      <c r="L488">
        <f t="shared" si="66"/>
        <v>6.2500000000000001E-5</v>
      </c>
      <c r="M488" t="b">
        <f t="shared" si="67"/>
        <v>0</v>
      </c>
      <c r="N488" t="b">
        <f t="shared" si="68"/>
        <v>1</v>
      </c>
      <c r="O488" t="s">
        <v>22</v>
      </c>
      <c r="P488">
        <f t="shared" si="69"/>
        <v>0.4375</v>
      </c>
      <c r="Q488">
        <f t="shared" si="70"/>
        <v>0.25</v>
      </c>
      <c r="R488">
        <f t="shared" si="71"/>
        <v>0.36250000000000004</v>
      </c>
    </row>
    <row r="489" spans="1:18">
      <c r="A489" t="s">
        <v>521</v>
      </c>
      <c r="B489" t="s">
        <v>60</v>
      </c>
      <c r="C489" t="str">
        <f t="shared" si="63"/>
        <v>Manufacturing and operations</v>
      </c>
      <c r="D489" t="s">
        <v>27</v>
      </c>
      <c r="E489" t="str">
        <f t="shared" si="64"/>
        <v>Technova</v>
      </c>
      <c r="F489">
        <v>22</v>
      </c>
      <c r="G489">
        <v>32000</v>
      </c>
      <c r="H489" s="1">
        <v>43536</v>
      </c>
      <c r="I489">
        <v>2</v>
      </c>
      <c r="J489" t="s">
        <v>57</v>
      </c>
      <c r="K489">
        <f t="shared" si="65"/>
        <v>2</v>
      </c>
      <c r="L489">
        <f t="shared" si="66"/>
        <v>6.2500000000000001E-5</v>
      </c>
      <c r="M489" t="b">
        <f t="shared" si="67"/>
        <v>1</v>
      </c>
      <c r="N489" t="b">
        <f t="shared" si="68"/>
        <v>1</v>
      </c>
      <c r="O489" t="s">
        <v>22</v>
      </c>
      <c r="P489">
        <f t="shared" si="69"/>
        <v>0.4375</v>
      </c>
      <c r="Q489">
        <f t="shared" si="70"/>
        <v>0.25</v>
      </c>
      <c r="R489">
        <f t="shared" si="71"/>
        <v>0.36250000000000004</v>
      </c>
    </row>
    <row r="490" spans="1:18">
      <c r="A490" t="s">
        <v>522</v>
      </c>
      <c r="B490" t="s">
        <v>60</v>
      </c>
      <c r="C490" t="str">
        <f t="shared" si="63"/>
        <v>Manufacturing and operations</v>
      </c>
      <c r="D490" t="s">
        <v>27</v>
      </c>
      <c r="E490" t="str">
        <f t="shared" si="64"/>
        <v>Technova</v>
      </c>
      <c r="F490">
        <v>22</v>
      </c>
      <c r="G490">
        <v>32000</v>
      </c>
      <c r="H490" s="1">
        <v>39113</v>
      </c>
      <c r="I490">
        <v>2</v>
      </c>
      <c r="J490" t="s">
        <v>57</v>
      </c>
      <c r="K490">
        <f t="shared" si="65"/>
        <v>2</v>
      </c>
      <c r="L490">
        <f t="shared" si="66"/>
        <v>6.2500000000000001E-5</v>
      </c>
      <c r="M490" t="b">
        <f t="shared" si="67"/>
        <v>1</v>
      </c>
      <c r="N490" t="b">
        <f t="shared" si="68"/>
        <v>1</v>
      </c>
      <c r="O490" t="s">
        <v>22</v>
      </c>
      <c r="P490">
        <f t="shared" si="69"/>
        <v>0.4375</v>
      </c>
      <c r="Q490">
        <f t="shared" si="70"/>
        <v>0.25</v>
      </c>
      <c r="R490">
        <f t="shared" si="71"/>
        <v>0.36250000000000004</v>
      </c>
    </row>
    <row r="491" spans="1:18">
      <c r="A491" t="s">
        <v>523</v>
      </c>
      <c r="B491" t="s">
        <v>25</v>
      </c>
      <c r="C491" t="str">
        <f t="shared" si="63"/>
        <v>Sales &amp; Marketing</v>
      </c>
      <c r="D491" t="s">
        <v>27</v>
      </c>
      <c r="E491" t="str">
        <f t="shared" si="64"/>
        <v>Technova</v>
      </c>
      <c r="F491">
        <v>9</v>
      </c>
      <c r="G491">
        <v>16000</v>
      </c>
      <c r="H491" s="1">
        <v>41543</v>
      </c>
      <c r="I491">
        <v>2</v>
      </c>
      <c r="J491" t="s">
        <v>21</v>
      </c>
      <c r="K491">
        <f t="shared" si="65"/>
        <v>1</v>
      </c>
      <c r="L491">
        <f t="shared" si="66"/>
        <v>6.2500000000000001E-5</v>
      </c>
      <c r="M491" t="b">
        <f t="shared" si="67"/>
        <v>0</v>
      </c>
      <c r="N491" t="b">
        <f t="shared" si="68"/>
        <v>1</v>
      </c>
      <c r="O491" t="s">
        <v>22</v>
      </c>
      <c r="P491">
        <f t="shared" si="69"/>
        <v>0.4375</v>
      </c>
      <c r="Q491">
        <f t="shared" si="70"/>
        <v>0.25</v>
      </c>
      <c r="R491">
        <f t="shared" si="71"/>
        <v>0.36250000000000004</v>
      </c>
    </row>
    <row r="492" spans="1:18">
      <c r="A492" t="s">
        <v>524</v>
      </c>
      <c r="B492" t="s">
        <v>25</v>
      </c>
      <c r="C492" t="str">
        <f t="shared" si="63"/>
        <v>Sales &amp; Marketing</v>
      </c>
      <c r="D492" t="s">
        <v>27</v>
      </c>
      <c r="E492" t="str">
        <f t="shared" si="64"/>
        <v>Technova</v>
      </c>
      <c r="F492">
        <v>3</v>
      </c>
      <c r="G492">
        <v>16000</v>
      </c>
      <c r="H492" s="1">
        <v>38803</v>
      </c>
      <c r="I492">
        <v>2</v>
      </c>
      <c r="J492" t="s">
        <v>21</v>
      </c>
      <c r="K492">
        <f t="shared" si="65"/>
        <v>1</v>
      </c>
      <c r="L492">
        <f t="shared" si="66"/>
        <v>6.2500000000000001E-5</v>
      </c>
      <c r="M492" t="b">
        <f t="shared" si="67"/>
        <v>0</v>
      </c>
      <c r="N492" t="b">
        <f t="shared" si="68"/>
        <v>0</v>
      </c>
      <c r="O492" t="s">
        <v>22</v>
      </c>
      <c r="P492">
        <f t="shared" si="69"/>
        <v>0.4375</v>
      </c>
      <c r="Q492">
        <f t="shared" si="70"/>
        <v>0.25</v>
      </c>
      <c r="R492">
        <f t="shared" si="71"/>
        <v>0.36250000000000004</v>
      </c>
    </row>
    <row r="493" spans="1:18">
      <c r="A493" t="s">
        <v>525</v>
      </c>
      <c r="B493" t="s">
        <v>67</v>
      </c>
      <c r="C493" t="str">
        <f t="shared" si="63"/>
        <v>Quality Assurance</v>
      </c>
      <c r="D493" t="s">
        <v>20</v>
      </c>
      <c r="E493" t="str">
        <f t="shared" si="64"/>
        <v>Dataverse</v>
      </c>
      <c r="F493">
        <v>16</v>
      </c>
      <c r="G493">
        <v>32000</v>
      </c>
      <c r="H493" s="1">
        <v>42658</v>
      </c>
      <c r="I493">
        <v>2</v>
      </c>
      <c r="J493" t="s">
        <v>57</v>
      </c>
      <c r="K493">
        <f t="shared" si="65"/>
        <v>2</v>
      </c>
      <c r="L493">
        <f t="shared" si="66"/>
        <v>6.2500000000000001E-5</v>
      </c>
      <c r="M493" t="b">
        <f t="shared" si="67"/>
        <v>1</v>
      </c>
      <c r="N493" t="b">
        <f t="shared" si="68"/>
        <v>1</v>
      </c>
      <c r="O493" t="s">
        <v>22</v>
      </c>
      <c r="P493">
        <f t="shared" si="69"/>
        <v>0.4375</v>
      </c>
      <c r="Q493">
        <f t="shared" si="70"/>
        <v>0.25</v>
      </c>
      <c r="R493">
        <f t="shared" si="71"/>
        <v>0.36250000000000004</v>
      </c>
    </row>
    <row r="494" spans="1:18">
      <c r="A494" t="s">
        <v>526</v>
      </c>
      <c r="B494" t="s">
        <v>102</v>
      </c>
      <c r="C494" t="str">
        <f t="shared" si="63"/>
        <v>Finance</v>
      </c>
      <c r="D494" t="s">
        <v>20</v>
      </c>
      <c r="E494" t="str">
        <f t="shared" si="64"/>
        <v>Dataverse</v>
      </c>
      <c r="F494">
        <v>11</v>
      </c>
      <c r="G494">
        <v>39000</v>
      </c>
      <c r="H494" s="1">
        <v>38220</v>
      </c>
      <c r="I494">
        <v>3</v>
      </c>
      <c r="J494" t="s">
        <v>57</v>
      </c>
      <c r="K494">
        <f t="shared" si="65"/>
        <v>2</v>
      </c>
      <c r="L494">
        <f t="shared" si="66"/>
        <v>5.1282051282051279E-5</v>
      </c>
      <c r="M494" t="b">
        <f t="shared" si="67"/>
        <v>0</v>
      </c>
      <c r="N494" t="b">
        <f t="shared" si="68"/>
        <v>1</v>
      </c>
      <c r="O494" t="s">
        <v>22</v>
      </c>
      <c r="P494">
        <f t="shared" si="69"/>
        <v>0.26923076923076916</v>
      </c>
      <c r="Q494">
        <f t="shared" si="70"/>
        <v>0.5</v>
      </c>
      <c r="R494">
        <f t="shared" si="71"/>
        <v>0.36153846153846148</v>
      </c>
    </row>
    <row r="495" spans="1:18">
      <c r="A495" t="s">
        <v>527</v>
      </c>
      <c r="B495" t="s">
        <v>74</v>
      </c>
      <c r="C495" t="str">
        <f t="shared" si="63"/>
        <v>Human Resources</v>
      </c>
      <c r="D495" t="s">
        <v>27</v>
      </c>
      <c r="E495" t="str">
        <f t="shared" si="64"/>
        <v>Technova</v>
      </c>
      <c r="F495">
        <v>12</v>
      </c>
      <c r="G495">
        <v>39000</v>
      </c>
      <c r="H495" s="1">
        <v>41528</v>
      </c>
      <c r="I495">
        <v>3</v>
      </c>
      <c r="J495" t="s">
        <v>57</v>
      </c>
      <c r="K495">
        <f t="shared" si="65"/>
        <v>2</v>
      </c>
      <c r="L495">
        <f t="shared" si="66"/>
        <v>5.1282051282051279E-5</v>
      </c>
      <c r="M495" t="b">
        <f t="shared" si="67"/>
        <v>0</v>
      </c>
      <c r="N495" t="b">
        <f t="shared" si="68"/>
        <v>1</v>
      </c>
      <c r="O495" t="s">
        <v>22</v>
      </c>
      <c r="P495">
        <f t="shared" si="69"/>
        <v>0.26923076923076916</v>
      </c>
      <c r="Q495">
        <f t="shared" si="70"/>
        <v>0.5</v>
      </c>
      <c r="R495">
        <f t="shared" si="71"/>
        <v>0.36153846153846148</v>
      </c>
    </row>
    <row r="496" spans="1:18">
      <c r="A496" t="s">
        <v>528</v>
      </c>
      <c r="B496" t="s">
        <v>74</v>
      </c>
      <c r="C496" t="str">
        <f t="shared" si="63"/>
        <v>Human Resources</v>
      </c>
      <c r="D496" t="s">
        <v>27</v>
      </c>
      <c r="E496" t="str">
        <f t="shared" si="64"/>
        <v>Technova</v>
      </c>
      <c r="F496">
        <v>8</v>
      </c>
      <c r="G496">
        <v>39000</v>
      </c>
      <c r="H496" s="1">
        <v>40894</v>
      </c>
      <c r="I496">
        <v>3</v>
      </c>
      <c r="J496" t="s">
        <v>57</v>
      </c>
      <c r="K496">
        <f t="shared" si="65"/>
        <v>2</v>
      </c>
      <c r="L496">
        <f t="shared" si="66"/>
        <v>5.1282051282051279E-5</v>
      </c>
      <c r="M496" t="b">
        <f t="shared" si="67"/>
        <v>0</v>
      </c>
      <c r="N496" t="b">
        <f t="shared" si="68"/>
        <v>1</v>
      </c>
      <c r="O496" t="s">
        <v>22</v>
      </c>
      <c r="P496">
        <f t="shared" si="69"/>
        <v>0.26923076923076916</v>
      </c>
      <c r="Q496">
        <f t="shared" si="70"/>
        <v>0.5</v>
      </c>
      <c r="R496">
        <f t="shared" si="71"/>
        <v>0.36153846153846148</v>
      </c>
    </row>
    <row r="497" spans="1:18">
      <c r="A497" t="s">
        <v>529</v>
      </c>
      <c r="B497" t="s">
        <v>60</v>
      </c>
      <c r="C497" t="str">
        <f t="shared" si="63"/>
        <v>Manufacturing and operations</v>
      </c>
      <c r="D497" t="s">
        <v>20</v>
      </c>
      <c r="E497" t="str">
        <f t="shared" si="64"/>
        <v>Dataverse</v>
      </c>
      <c r="F497">
        <v>24</v>
      </c>
      <c r="G497">
        <v>39000</v>
      </c>
      <c r="H497" s="1">
        <v>44995</v>
      </c>
      <c r="I497">
        <v>3</v>
      </c>
      <c r="J497" t="s">
        <v>57</v>
      </c>
      <c r="K497">
        <f t="shared" si="65"/>
        <v>2</v>
      </c>
      <c r="L497">
        <f t="shared" si="66"/>
        <v>5.1282051282051279E-5</v>
      </c>
      <c r="M497" t="b">
        <f t="shared" si="67"/>
        <v>1</v>
      </c>
      <c r="N497" t="b">
        <f t="shared" si="68"/>
        <v>1</v>
      </c>
      <c r="O497" t="s">
        <v>22</v>
      </c>
      <c r="P497">
        <f t="shared" si="69"/>
        <v>0.26923076923076916</v>
      </c>
      <c r="Q497">
        <f t="shared" si="70"/>
        <v>0.5</v>
      </c>
      <c r="R497">
        <f t="shared" si="71"/>
        <v>0.36153846153846148</v>
      </c>
    </row>
    <row r="498" spans="1:18">
      <c r="A498" t="s">
        <v>530</v>
      </c>
      <c r="B498" t="s">
        <v>60</v>
      </c>
      <c r="C498" t="str">
        <f t="shared" si="63"/>
        <v>Manufacturing and operations</v>
      </c>
      <c r="D498" t="s">
        <v>20</v>
      </c>
      <c r="E498" t="str">
        <f t="shared" si="64"/>
        <v>Dataverse</v>
      </c>
      <c r="F498">
        <v>20</v>
      </c>
      <c r="G498">
        <v>39000</v>
      </c>
      <c r="H498" s="1">
        <v>42456</v>
      </c>
      <c r="I498">
        <v>3</v>
      </c>
      <c r="J498" t="s">
        <v>57</v>
      </c>
      <c r="K498">
        <f t="shared" si="65"/>
        <v>2</v>
      </c>
      <c r="L498">
        <f t="shared" si="66"/>
        <v>5.1282051282051279E-5</v>
      </c>
      <c r="M498" t="b">
        <f t="shared" si="67"/>
        <v>1</v>
      </c>
      <c r="N498" t="b">
        <f t="shared" si="68"/>
        <v>1</v>
      </c>
      <c r="O498" t="s">
        <v>22</v>
      </c>
      <c r="P498">
        <f t="shared" si="69"/>
        <v>0.26923076923076916</v>
      </c>
      <c r="Q498">
        <f t="shared" si="70"/>
        <v>0.5</v>
      </c>
      <c r="R498">
        <f t="shared" si="71"/>
        <v>0.36153846153846148</v>
      </c>
    </row>
    <row r="499" spans="1:18">
      <c r="A499" t="s">
        <v>531</v>
      </c>
      <c r="B499" t="s">
        <v>60</v>
      </c>
      <c r="C499" t="str">
        <f t="shared" si="63"/>
        <v>Manufacturing and operations</v>
      </c>
      <c r="D499" t="s">
        <v>27</v>
      </c>
      <c r="E499" t="str">
        <f t="shared" si="64"/>
        <v>Technova</v>
      </c>
      <c r="F499">
        <v>3</v>
      </c>
      <c r="G499">
        <v>39000</v>
      </c>
      <c r="H499" s="1">
        <v>39007</v>
      </c>
      <c r="I499">
        <v>3</v>
      </c>
      <c r="J499" t="s">
        <v>57</v>
      </c>
      <c r="K499">
        <f t="shared" si="65"/>
        <v>2</v>
      </c>
      <c r="L499">
        <f t="shared" si="66"/>
        <v>5.1282051282051279E-5</v>
      </c>
      <c r="M499" t="b">
        <f t="shared" si="67"/>
        <v>0</v>
      </c>
      <c r="N499" t="b">
        <f t="shared" si="68"/>
        <v>0</v>
      </c>
      <c r="O499" t="s">
        <v>22</v>
      </c>
      <c r="P499">
        <f t="shared" si="69"/>
        <v>0.26923076923076916</v>
      </c>
      <c r="Q499">
        <f t="shared" si="70"/>
        <v>0.5</v>
      </c>
      <c r="R499">
        <f t="shared" si="71"/>
        <v>0.36153846153846148</v>
      </c>
    </row>
    <row r="500" spans="1:18">
      <c r="A500" t="s">
        <v>532</v>
      </c>
      <c r="B500" t="s">
        <v>67</v>
      </c>
      <c r="C500" t="str">
        <f t="shared" si="63"/>
        <v>Quality Assurance</v>
      </c>
      <c r="D500" t="s">
        <v>20</v>
      </c>
      <c r="E500" t="str">
        <f t="shared" si="64"/>
        <v>Dataverse</v>
      </c>
      <c r="F500">
        <v>17</v>
      </c>
      <c r="G500">
        <v>39000</v>
      </c>
      <c r="H500" s="1">
        <v>38256</v>
      </c>
      <c r="I500">
        <v>3</v>
      </c>
      <c r="J500" t="s">
        <v>57</v>
      </c>
      <c r="K500">
        <f t="shared" si="65"/>
        <v>2</v>
      </c>
      <c r="L500">
        <f t="shared" si="66"/>
        <v>5.1282051282051279E-5</v>
      </c>
      <c r="M500" t="b">
        <f t="shared" si="67"/>
        <v>1</v>
      </c>
      <c r="N500" t="b">
        <f t="shared" si="68"/>
        <v>1</v>
      </c>
      <c r="O500" t="s">
        <v>22</v>
      </c>
      <c r="P500">
        <f t="shared" si="69"/>
        <v>0.26923076923076916</v>
      </c>
      <c r="Q500">
        <f t="shared" si="70"/>
        <v>0.5</v>
      </c>
      <c r="R500">
        <f t="shared" si="71"/>
        <v>0.36153846153846148</v>
      </c>
    </row>
    <row r="501" spans="1:18">
      <c r="A501" t="s">
        <v>533</v>
      </c>
      <c r="B501" t="s">
        <v>67</v>
      </c>
      <c r="C501" t="str">
        <f t="shared" si="63"/>
        <v>Quality Assurance</v>
      </c>
      <c r="D501" t="s">
        <v>27</v>
      </c>
      <c r="E501" t="str">
        <f t="shared" si="64"/>
        <v>Technova</v>
      </c>
      <c r="F501">
        <v>11</v>
      </c>
      <c r="G501">
        <v>39000</v>
      </c>
      <c r="H501" s="1">
        <v>40910</v>
      </c>
      <c r="I501">
        <v>3</v>
      </c>
      <c r="J501" t="s">
        <v>57</v>
      </c>
      <c r="K501">
        <f t="shared" si="65"/>
        <v>2</v>
      </c>
      <c r="L501">
        <f t="shared" si="66"/>
        <v>5.1282051282051279E-5</v>
      </c>
      <c r="M501" t="b">
        <f t="shared" si="67"/>
        <v>0</v>
      </c>
      <c r="N501" t="b">
        <f t="shared" si="68"/>
        <v>1</v>
      </c>
      <c r="O501" t="s">
        <v>22</v>
      </c>
      <c r="P501">
        <f t="shared" si="69"/>
        <v>0.26923076923076916</v>
      </c>
      <c r="Q501">
        <f t="shared" si="70"/>
        <v>0.5</v>
      </c>
      <c r="R501">
        <f t="shared" si="71"/>
        <v>0.36153846153846148</v>
      </c>
    </row>
    <row r="502" spans="1:18">
      <c r="A502" t="s">
        <v>534</v>
      </c>
      <c r="B502" t="s">
        <v>67</v>
      </c>
      <c r="C502" t="str">
        <f t="shared" si="63"/>
        <v>Quality Assurance</v>
      </c>
      <c r="D502" t="s">
        <v>20</v>
      </c>
      <c r="E502" t="str">
        <f t="shared" si="64"/>
        <v>Dataverse</v>
      </c>
      <c r="F502">
        <v>4</v>
      </c>
      <c r="G502">
        <v>39000</v>
      </c>
      <c r="H502" s="1">
        <v>38616</v>
      </c>
      <c r="I502">
        <v>3</v>
      </c>
      <c r="J502" t="s">
        <v>57</v>
      </c>
      <c r="K502">
        <f t="shared" si="65"/>
        <v>2</v>
      </c>
      <c r="L502">
        <f t="shared" si="66"/>
        <v>5.1282051282051279E-5</v>
      </c>
      <c r="M502" t="b">
        <f t="shared" si="67"/>
        <v>0</v>
      </c>
      <c r="N502" t="b">
        <f t="shared" si="68"/>
        <v>0</v>
      </c>
      <c r="O502" t="s">
        <v>22</v>
      </c>
      <c r="P502">
        <f t="shared" si="69"/>
        <v>0.26923076923076916</v>
      </c>
      <c r="Q502">
        <f t="shared" si="70"/>
        <v>0.5</v>
      </c>
      <c r="R502">
        <f t="shared" si="71"/>
        <v>0.36153846153846148</v>
      </c>
    </row>
    <row r="503" spans="1:18">
      <c r="A503" t="s">
        <v>535</v>
      </c>
      <c r="B503" t="s">
        <v>67</v>
      </c>
      <c r="C503" t="str">
        <f t="shared" si="63"/>
        <v>Quality Assurance</v>
      </c>
      <c r="D503" t="s">
        <v>20</v>
      </c>
      <c r="E503" t="str">
        <f t="shared" si="64"/>
        <v>Dataverse</v>
      </c>
      <c r="F503">
        <v>22</v>
      </c>
      <c r="G503">
        <v>39000</v>
      </c>
      <c r="H503" s="1">
        <v>45115</v>
      </c>
      <c r="I503">
        <v>3</v>
      </c>
      <c r="J503" t="s">
        <v>57</v>
      </c>
      <c r="K503">
        <f t="shared" si="65"/>
        <v>2</v>
      </c>
      <c r="L503">
        <f t="shared" si="66"/>
        <v>5.1282051282051279E-5</v>
      </c>
      <c r="M503" t="b">
        <f t="shared" si="67"/>
        <v>1</v>
      </c>
      <c r="N503" t="b">
        <f t="shared" si="68"/>
        <v>1</v>
      </c>
      <c r="O503" t="s">
        <v>22</v>
      </c>
      <c r="P503">
        <f t="shared" si="69"/>
        <v>0.26923076923076916</v>
      </c>
      <c r="Q503">
        <f t="shared" si="70"/>
        <v>0.5</v>
      </c>
      <c r="R503">
        <f t="shared" si="71"/>
        <v>0.36153846153846148</v>
      </c>
    </row>
    <row r="504" spans="1:18">
      <c r="A504" t="s">
        <v>536</v>
      </c>
      <c r="B504" t="s">
        <v>70</v>
      </c>
      <c r="C504" t="str">
        <f t="shared" si="63"/>
        <v>Customer Experience</v>
      </c>
      <c r="D504" t="s">
        <v>20</v>
      </c>
      <c r="E504" t="str">
        <f t="shared" si="64"/>
        <v>Dataverse</v>
      </c>
      <c r="F504">
        <v>14</v>
      </c>
      <c r="G504">
        <v>50000</v>
      </c>
      <c r="H504" s="1">
        <v>41349</v>
      </c>
      <c r="I504">
        <v>4</v>
      </c>
      <c r="J504" t="s">
        <v>57</v>
      </c>
      <c r="K504">
        <f t="shared" si="65"/>
        <v>2</v>
      </c>
      <c r="L504">
        <f t="shared" si="66"/>
        <v>4.0000000000000003E-5</v>
      </c>
      <c r="M504" t="b">
        <f t="shared" si="67"/>
        <v>0</v>
      </c>
      <c r="N504" t="b">
        <f t="shared" si="68"/>
        <v>1</v>
      </c>
      <c r="O504" t="s">
        <v>22</v>
      </c>
      <c r="P504">
        <f t="shared" si="69"/>
        <v>0.10000000000000002</v>
      </c>
      <c r="Q504">
        <f t="shared" si="70"/>
        <v>0.75</v>
      </c>
      <c r="R504">
        <f t="shared" si="71"/>
        <v>0.36000000000000004</v>
      </c>
    </row>
    <row r="505" spans="1:18">
      <c r="A505" t="s">
        <v>537</v>
      </c>
      <c r="B505" t="s">
        <v>102</v>
      </c>
      <c r="C505" t="str">
        <f t="shared" si="63"/>
        <v>Finance</v>
      </c>
      <c r="D505" t="s">
        <v>27</v>
      </c>
      <c r="E505" t="str">
        <f t="shared" si="64"/>
        <v>Technova</v>
      </c>
      <c r="F505">
        <v>8</v>
      </c>
      <c r="G505">
        <v>50000</v>
      </c>
      <c r="H505" s="1">
        <v>39190</v>
      </c>
      <c r="I505">
        <v>4</v>
      </c>
      <c r="J505" t="s">
        <v>57</v>
      </c>
      <c r="K505">
        <f t="shared" si="65"/>
        <v>2</v>
      </c>
      <c r="L505">
        <f t="shared" si="66"/>
        <v>4.0000000000000003E-5</v>
      </c>
      <c r="M505" t="b">
        <f t="shared" si="67"/>
        <v>0</v>
      </c>
      <c r="N505" t="b">
        <f t="shared" si="68"/>
        <v>1</v>
      </c>
      <c r="O505" t="s">
        <v>22</v>
      </c>
      <c r="P505">
        <f t="shared" si="69"/>
        <v>0.10000000000000002</v>
      </c>
      <c r="Q505">
        <f t="shared" si="70"/>
        <v>0.75</v>
      </c>
      <c r="R505">
        <f t="shared" si="71"/>
        <v>0.36000000000000004</v>
      </c>
    </row>
    <row r="506" spans="1:18">
      <c r="A506" t="s">
        <v>538</v>
      </c>
      <c r="B506" t="s">
        <v>74</v>
      </c>
      <c r="C506" t="str">
        <f t="shared" si="63"/>
        <v>Human Resources</v>
      </c>
      <c r="D506" t="s">
        <v>27</v>
      </c>
      <c r="E506" t="str">
        <f t="shared" si="64"/>
        <v>Technova</v>
      </c>
      <c r="F506">
        <v>23</v>
      </c>
      <c r="G506">
        <v>50000</v>
      </c>
      <c r="H506" s="1">
        <v>44060</v>
      </c>
      <c r="I506">
        <v>4</v>
      </c>
      <c r="J506" t="s">
        <v>57</v>
      </c>
      <c r="K506">
        <f t="shared" si="65"/>
        <v>2</v>
      </c>
      <c r="L506">
        <f t="shared" si="66"/>
        <v>4.0000000000000003E-5</v>
      </c>
      <c r="M506" t="b">
        <f t="shared" si="67"/>
        <v>1</v>
      </c>
      <c r="N506" t="b">
        <f t="shared" si="68"/>
        <v>1</v>
      </c>
      <c r="O506" t="s">
        <v>22</v>
      </c>
      <c r="P506">
        <f t="shared" si="69"/>
        <v>0.10000000000000002</v>
      </c>
      <c r="Q506">
        <f t="shared" si="70"/>
        <v>0.75</v>
      </c>
      <c r="R506">
        <f t="shared" si="71"/>
        <v>0.36000000000000004</v>
      </c>
    </row>
    <row r="507" spans="1:18">
      <c r="A507" t="s">
        <v>539</v>
      </c>
      <c r="B507" t="s">
        <v>19</v>
      </c>
      <c r="C507" t="str">
        <f t="shared" si="63"/>
        <v>Research &amp; Department</v>
      </c>
      <c r="D507" t="s">
        <v>27</v>
      </c>
      <c r="E507" t="str">
        <f t="shared" si="64"/>
        <v>Technova</v>
      </c>
      <c r="F507">
        <v>13</v>
      </c>
      <c r="G507">
        <v>25000</v>
      </c>
      <c r="H507" s="1">
        <v>41569</v>
      </c>
      <c r="I507">
        <v>4</v>
      </c>
      <c r="J507" t="s">
        <v>21</v>
      </c>
      <c r="K507">
        <f t="shared" si="65"/>
        <v>1</v>
      </c>
      <c r="L507">
        <f t="shared" si="66"/>
        <v>4.0000000000000003E-5</v>
      </c>
      <c r="M507" t="b">
        <f t="shared" si="67"/>
        <v>0</v>
      </c>
      <c r="N507" t="b">
        <f t="shared" si="68"/>
        <v>1</v>
      </c>
      <c r="O507" t="s">
        <v>22</v>
      </c>
      <c r="P507">
        <f t="shared" si="69"/>
        <v>0.10000000000000002</v>
      </c>
      <c r="Q507">
        <f t="shared" si="70"/>
        <v>0.75</v>
      </c>
      <c r="R507">
        <f t="shared" si="71"/>
        <v>0.36000000000000004</v>
      </c>
    </row>
    <row r="508" spans="1:18">
      <c r="A508" t="s">
        <v>540</v>
      </c>
      <c r="B508" t="s">
        <v>60</v>
      </c>
      <c r="C508" t="str">
        <f t="shared" si="63"/>
        <v>Manufacturing and operations</v>
      </c>
      <c r="D508" t="s">
        <v>27</v>
      </c>
      <c r="E508" t="str">
        <f t="shared" si="64"/>
        <v>Technova</v>
      </c>
      <c r="F508">
        <v>25</v>
      </c>
      <c r="G508">
        <v>50000</v>
      </c>
      <c r="H508" s="1">
        <v>38244</v>
      </c>
      <c r="I508">
        <v>4</v>
      </c>
      <c r="J508" t="s">
        <v>57</v>
      </c>
      <c r="K508">
        <f t="shared" si="65"/>
        <v>2</v>
      </c>
      <c r="L508">
        <f t="shared" si="66"/>
        <v>4.0000000000000003E-5</v>
      </c>
      <c r="M508" t="b">
        <f t="shared" si="67"/>
        <v>1</v>
      </c>
      <c r="N508" t="b">
        <f t="shared" si="68"/>
        <v>1</v>
      </c>
      <c r="O508" t="s">
        <v>22</v>
      </c>
      <c r="P508">
        <f t="shared" si="69"/>
        <v>0.10000000000000002</v>
      </c>
      <c r="Q508">
        <f t="shared" si="70"/>
        <v>0.75</v>
      </c>
      <c r="R508">
        <f t="shared" si="71"/>
        <v>0.36000000000000004</v>
      </c>
    </row>
    <row r="509" spans="1:18">
      <c r="A509" t="s">
        <v>541</v>
      </c>
      <c r="B509" t="s">
        <v>25</v>
      </c>
      <c r="C509" t="str">
        <f t="shared" si="63"/>
        <v>Sales &amp; Marketing</v>
      </c>
      <c r="D509" t="s">
        <v>27</v>
      </c>
      <c r="E509" t="str">
        <f t="shared" si="64"/>
        <v>Technova</v>
      </c>
      <c r="F509">
        <v>3</v>
      </c>
      <c r="G509">
        <v>25000</v>
      </c>
      <c r="H509" s="1">
        <v>42513</v>
      </c>
      <c r="I509">
        <v>4</v>
      </c>
      <c r="J509" t="s">
        <v>21</v>
      </c>
      <c r="K509">
        <f t="shared" si="65"/>
        <v>1</v>
      </c>
      <c r="L509">
        <f t="shared" si="66"/>
        <v>4.0000000000000003E-5</v>
      </c>
      <c r="M509" t="b">
        <f t="shared" si="67"/>
        <v>0</v>
      </c>
      <c r="N509" t="b">
        <f t="shared" si="68"/>
        <v>0</v>
      </c>
      <c r="O509" t="s">
        <v>22</v>
      </c>
      <c r="P509">
        <f t="shared" si="69"/>
        <v>0.10000000000000002</v>
      </c>
      <c r="Q509">
        <f t="shared" si="70"/>
        <v>0.75</v>
      </c>
      <c r="R509">
        <f t="shared" si="71"/>
        <v>0.36000000000000004</v>
      </c>
    </row>
    <row r="510" spans="1:18">
      <c r="A510" t="s">
        <v>542</v>
      </c>
      <c r="B510" t="s">
        <v>25</v>
      </c>
      <c r="C510" t="str">
        <f t="shared" si="63"/>
        <v>Sales &amp; Marketing</v>
      </c>
      <c r="D510" t="s">
        <v>27</v>
      </c>
      <c r="E510" t="str">
        <f t="shared" si="64"/>
        <v>Technova</v>
      </c>
      <c r="F510">
        <v>14</v>
      </c>
      <c r="G510">
        <v>25000</v>
      </c>
      <c r="H510" s="1">
        <v>41493</v>
      </c>
      <c r="I510">
        <v>4</v>
      </c>
      <c r="J510" t="s">
        <v>21</v>
      </c>
      <c r="K510">
        <f t="shared" si="65"/>
        <v>1</v>
      </c>
      <c r="L510">
        <f t="shared" si="66"/>
        <v>4.0000000000000003E-5</v>
      </c>
      <c r="M510" t="b">
        <f t="shared" si="67"/>
        <v>0</v>
      </c>
      <c r="N510" t="b">
        <f t="shared" si="68"/>
        <v>1</v>
      </c>
      <c r="O510" t="s">
        <v>22</v>
      </c>
      <c r="P510">
        <f t="shared" si="69"/>
        <v>0.10000000000000002</v>
      </c>
      <c r="Q510">
        <f t="shared" si="70"/>
        <v>0.75</v>
      </c>
      <c r="R510">
        <f t="shared" si="71"/>
        <v>0.36000000000000004</v>
      </c>
    </row>
    <row r="511" spans="1:18">
      <c r="A511" t="s">
        <v>543</v>
      </c>
      <c r="B511" t="s">
        <v>204</v>
      </c>
      <c r="C511" t="str">
        <f t="shared" si="63"/>
        <v>Administrative Services</v>
      </c>
      <c r="D511" t="s">
        <v>20</v>
      </c>
      <c r="E511" t="str">
        <f t="shared" si="64"/>
        <v>Dataverse</v>
      </c>
      <c r="F511">
        <v>21</v>
      </c>
      <c r="G511">
        <v>77000</v>
      </c>
      <c r="H511" s="1">
        <v>43959</v>
      </c>
      <c r="I511">
        <v>4</v>
      </c>
      <c r="J511" t="s">
        <v>174</v>
      </c>
      <c r="K511">
        <f t="shared" si="65"/>
        <v>3</v>
      </c>
      <c r="L511">
        <f t="shared" si="66"/>
        <v>3.896103896103896E-5</v>
      </c>
      <c r="M511" t="b">
        <f t="shared" si="67"/>
        <v>1</v>
      </c>
      <c r="N511" t="b">
        <f t="shared" si="68"/>
        <v>1</v>
      </c>
      <c r="O511" t="s">
        <v>22</v>
      </c>
      <c r="P511">
        <f t="shared" si="69"/>
        <v>8.441558441558436E-2</v>
      </c>
      <c r="Q511">
        <f t="shared" si="70"/>
        <v>0.75</v>
      </c>
      <c r="R511">
        <f t="shared" si="71"/>
        <v>0.35064935064935066</v>
      </c>
    </row>
    <row r="512" spans="1:18">
      <c r="A512" t="s">
        <v>544</v>
      </c>
      <c r="B512" t="s">
        <v>204</v>
      </c>
      <c r="C512" t="str">
        <f t="shared" si="63"/>
        <v>Administrative Services</v>
      </c>
      <c r="D512" t="s">
        <v>20</v>
      </c>
      <c r="E512" t="str">
        <f t="shared" si="64"/>
        <v>Dataverse</v>
      </c>
      <c r="F512">
        <v>24</v>
      </c>
      <c r="G512">
        <v>77000</v>
      </c>
      <c r="H512" s="1">
        <v>39943</v>
      </c>
      <c r="I512">
        <v>4</v>
      </c>
      <c r="J512" t="s">
        <v>174</v>
      </c>
      <c r="K512">
        <f t="shared" si="65"/>
        <v>3</v>
      </c>
      <c r="L512">
        <f t="shared" si="66"/>
        <v>3.896103896103896E-5</v>
      </c>
      <c r="M512" t="b">
        <f t="shared" si="67"/>
        <v>1</v>
      </c>
      <c r="N512" t="b">
        <f t="shared" si="68"/>
        <v>1</v>
      </c>
      <c r="O512" t="s">
        <v>22</v>
      </c>
      <c r="P512">
        <f t="shared" si="69"/>
        <v>8.441558441558436E-2</v>
      </c>
      <c r="Q512">
        <f t="shared" si="70"/>
        <v>0.75</v>
      </c>
      <c r="R512">
        <f t="shared" si="71"/>
        <v>0.35064935064935066</v>
      </c>
    </row>
    <row r="513" spans="1:18">
      <c r="A513" t="s">
        <v>545</v>
      </c>
      <c r="B513" t="s">
        <v>102</v>
      </c>
      <c r="C513" t="str">
        <f t="shared" si="63"/>
        <v>Finance</v>
      </c>
      <c r="D513" t="s">
        <v>27</v>
      </c>
      <c r="E513" t="str">
        <f t="shared" si="64"/>
        <v>Technova</v>
      </c>
      <c r="F513">
        <v>10</v>
      </c>
      <c r="G513">
        <v>40000</v>
      </c>
      <c r="H513" s="1">
        <v>41522</v>
      </c>
      <c r="I513">
        <v>3</v>
      </c>
      <c r="J513" t="s">
        <v>57</v>
      </c>
      <c r="K513">
        <f t="shared" si="65"/>
        <v>2</v>
      </c>
      <c r="L513">
        <f t="shared" si="66"/>
        <v>5.0000000000000002E-5</v>
      </c>
      <c r="M513" t="b">
        <f t="shared" si="67"/>
        <v>0</v>
      </c>
      <c r="N513" t="b">
        <f t="shared" si="68"/>
        <v>1</v>
      </c>
      <c r="O513" t="s">
        <v>22</v>
      </c>
      <c r="P513">
        <f t="shared" si="69"/>
        <v>0.25</v>
      </c>
      <c r="Q513">
        <f t="shared" si="70"/>
        <v>0.5</v>
      </c>
      <c r="R513">
        <f t="shared" si="71"/>
        <v>0.35</v>
      </c>
    </row>
    <row r="514" spans="1:18">
      <c r="A514" t="s">
        <v>546</v>
      </c>
      <c r="B514" t="s">
        <v>102</v>
      </c>
      <c r="C514" t="str">
        <f t="shared" ref="C514:C577" si="72">TRIM(B514)</f>
        <v>Finance</v>
      </c>
      <c r="D514" t="s">
        <v>20</v>
      </c>
      <c r="E514" t="str">
        <f t="shared" ref="E514:E577" si="73">TRIM(D514)</f>
        <v>Dataverse</v>
      </c>
      <c r="F514">
        <v>3</v>
      </c>
      <c r="G514">
        <v>40000</v>
      </c>
      <c r="H514" s="1">
        <v>38448</v>
      </c>
      <c r="I514">
        <v>3</v>
      </c>
      <c r="J514" t="s">
        <v>57</v>
      </c>
      <c r="K514">
        <f t="shared" ref="K514:K577" si="74">IF(J514="A", 3, IF(J514="B", 2, 1))</f>
        <v>2</v>
      </c>
      <c r="L514">
        <f t="shared" ref="L514:L577" si="75">K514/G514</f>
        <v>5.0000000000000002E-5</v>
      </c>
      <c r="M514" t="b">
        <f t="shared" ref="M514:M577" si="76">IF(F514&gt;15, TRUE, FALSE)</f>
        <v>0</v>
      </c>
      <c r="N514" t="b">
        <f t="shared" ref="N514:N577" si="77">IF(F514&gt;5, TRUE, FALSE)</f>
        <v>0</v>
      </c>
      <c r="O514" t="s">
        <v>22</v>
      </c>
      <c r="P514">
        <f t="shared" ref="P514:P577" si="78">(L514-MIN(L:L))/(MAX(L:L)-MIN(L:L))</f>
        <v>0.25</v>
      </c>
      <c r="Q514">
        <f t="shared" ref="Q514:Q577" si="79">(I514-1)/4</f>
        <v>0.5</v>
      </c>
      <c r="R514">
        <f t="shared" ref="R514:R577" si="80">(0.6*P514)+(0.4*Q514)</f>
        <v>0.35</v>
      </c>
    </row>
    <row r="515" spans="1:18">
      <c r="A515" t="s">
        <v>547</v>
      </c>
      <c r="B515" t="s">
        <v>102</v>
      </c>
      <c r="C515" t="str">
        <f t="shared" si="72"/>
        <v>Finance</v>
      </c>
      <c r="D515" t="s">
        <v>20</v>
      </c>
      <c r="E515" t="str">
        <f t="shared" si="73"/>
        <v>Dataverse</v>
      </c>
      <c r="F515">
        <v>7</v>
      </c>
      <c r="G515">
        <v>40000</v>
      </c>
      <c r="H515" s="1">
        <v>38670</v>
      </c>
      <c r="I515">
        <v>3</v>
      </c>
      <c r="J515" t="s">
        <v>57</v>
      </c>
      <c r="K515">
        <f t="shared" si="74"/>
        <v>2</v>
      </c>
      <c r="L515">
        <f t="shared" si="75"/>
        <v>5.0000000000000002E-5</v>
      </c>
      <c r="M515" t="b">
        <f t="shared" si="76"/>
        <v>0</v>
      </c>
      <c r="N515" t="b">
        <f t="shared" si="77"/>
        <v>1</v>
      </c>
      <c r="O515" t="s">
        <v>22</v>
      </c>
      <c r="P515">
        <f t="shared" si="78"/>
        <v>0.25</v>
      </c>
      <c r="Q515">
        <f t="shared" si="79"/>
        <v>0.5</v>
      </c>
      <c r="R515">
        <f t="shared" si="80"/>
        <v>0.35</v>
      </c>
    </row>
    <row r="516" spans="1:18">
      <c r="A516" t="s">
        <v>548</v>
      </c>
      <c r="B516" t="s">
        <v>74</v>
      </c>
      <c r="C516" t="str">
        <f t="shared" si="72"/>
        <v>Human Resources</v>
      </c>
      <c r="D516" t="s">
        <v>27</v>
      </c>
      <c r="E516" t="str">
        <f t="shared" si="73"/>
        <v>Technova</v>
      </c>
      <c r="F516">
        <v>15</v>
      </c>
      <c r="G516">
        <v>40000</v>
      </c>
      <c r="H516" s="1">
        <v>42124</v>
      </c>
      <c r="I516">
        <v>3</v>
      </c>
      <c r="J516" t="s">
        <v>57</v>
      </c>
      <c r="K516">
        <f t="shared" si="74"/>
        <v>2</v>
      </c>
      <c r="L516">
        <f t="shared" si="75"/>
        <v>5.0000000000000002E-5</v>
      </c>
      <c r="M516" t="b">
        <f t="shared" si="76"/>
        <v>0</v>
      </c>
      <c r="N516" t="b">
        <f t="shared" si="77"/>
        <v>1</v>
      </c>
      <c r="O516" t="s">
        <v>22</v>
      </c>
      <c r="P516">
        <f t="shared" si="78"/>
        <v>0.25</v>
      </c>
      <c r="Q516">
        <f t="shared" si="79"/>
        <v>0.5</v>
      </c>
      <c r="R516">
        <f t="shared" si="80"/>
        <v>0.35</v>
      </c>
    </row>
    <row r="517" spans="1:18">
      <c r="A517" t="s">
        <v>549</v>
      </c>
      <c r="B517" t="s">
        <v>56</v>
      </c>
      <c r="C517" t="str">
        <f t="shared" si="72"/>
        <v>IT &amp; Systems</v>
      </c>
      <c r="D517" t="s">
        <v>20</v>
      </c>
      <c r="E517" t="str">
        <f t="shared" si="73"/>
        <v>Dataverse</v>
      </c>
      <c r="F517">
        <v>16</v>
      </c>
      <c r="G517">
        <v>40000</v>
      </c>
      <c r="H517" s="1">
        <v>44722</v>
      </c>
      <c r="I517">
        <v>3</v>
      </c>
      <c r="J517" t="s">
        <v>57</v>
      </c>
      <c r="K517">
        <f t="shared" si="74"/>
        <v>2</v>
      </c>
      <c r="L517">
        <f t="shared" si="75"/>
        <v>5.0000000000000002E-5</v>
      </c>
      <c r="M517" t="b">
        <f t="shared" si="76"/>
        <v>1</v>
      </c>
      <c r="N517" t="b">
        <f t="shared" si="77"/>
        <v>1</v>
      </c>
      <c r="O517" t="s">
        <v>22</v>
      </c>
      <c r="P517">
        <f t="shared" si="78"/>
        <v>0.25</v>
      </c>
      <c r="Q517">
        <f t="shared" si="79"/>
        <v>0.5</v>
      </c>
      <c r="R517">
        <f t="shared" si="80"/>
        <v>0.35</v>
      </c>
    </row>
    <row r="518" spans="1:18">
      <c r="A518" t="s">
        <v>550</v>
      </c>
      <c r="B518" t="s">
        <v>56</v>
      </c>
      <c r="C518" t="str">
        <f t="shared" si="72"/>
        <v>IT &amp; Systems</v>
      </c>
      <c r="D518" t="s">
        <v>27</v>
      </c>
      <c r="E518" t="str">
        <f t="shared" si="73"/>
        <v>Technova</v>
      </c>
      <c r="F518">
        <v>22</v>
      </c>
      <c r="G518">
        <v>40000</v>
      </c>
      <c r="H518" s="1">
        <v>41456</v>
      </c>
      <c r="I518">
        <v>3</v>
      </c>
      <c r="J518" t="s">
        <v>57</v>
      </c>
      <c r="K518">
        <f t="shared" si="74"/>
        <v>2</v>
      </c>
      <c r="L518">
        <f t="shared" si="75"/>
        <v>5.0000000000000002E-5</v>
      </c>
      <c r="M518" t="b">
        <f t="shared" si="76"/>
        <v>1</v>
      </c>
      <c r="N518" t="b">
        <f t="shared" si="77"/>
        <v>1</v>
      </c>
      <c r="O518" t="s">
        <v>22</v>
      </c>
      <c r="P518">
        <f t="shared" si="78"/>
        <v>0.25</v>
      </c>
      <c r="Q518">
        <f t="shared" si="79"/>
        <v>0.5</v>
      </c>
      <c r="R518">
        <f t="shared" si="80"/>
        <v>0.35</v>
      </c>
    </row>
    <row r="519" spans="1:18">
      <c r="A519" t="s">
        <v>551</v>
      </c>
      <c r="B519" t="s">
        <v>56</v>
      </c>
      <c r="C519" t="str">
        <f t="shared" si="72"/>
        <v>IT &amp; Systems</v>
      </c>
      <c r="D519" t="s">
        <v>27</v>
      </c>
      <c r="E519" t="str">
        <f t="shared" si="73"/>
        <v>Technova</v>
      </c>
      <c r="F519">
        <v>7</v>
      </c>
      <c r="G519">
        <v>40000</v>
      </c>
      <c r="H519" s="1">
        <v>38216</v>
      </c>
      <c r="I519">
        <v>3</v>
      </c>
      <c r="J519" t="s">
        <v>57</v>
      </c>
      <c r="K519">
        <f t="shared" si="74"/>
        <v>2</v>
      </c>
      <c r="L519">
        <f t="shared" si="75"/>
        <v>5.0000000000000002E-5</v>
      </c>
      <c r="M519" t="b">
        <f t="shared" si="76"/>
        <v>0</v>
      </c>
      <c r="N519" t="b">
        <f t="shared" si="77"/>
        <v>1</v>
      </c>
      <c r="O519" t="s">
        <v>22</v>
      </c>
      <c r="P519">
        <f t="shared" si="78"/>
        <v>0.25</v>
      </c>
      <c r="Q519">
        <f t="shared" si="79"/>
        <v>0.5</v>
      </c>
      <c r="R519">
        <f t="shared" si="80"/>
        <v>0.35</v>
      </c>
    </row>
    <row r="520" spans="1:18">
      <c r="A520" t="s">
        <v>552</v>
      </c>
      <c r="B520" t="s">
        <v>56</v>
      </c>
      <c r="C520" t="str">
        <f t="shared" si="72"/>
        <v>IT &amp; Systems</v>
      </c>
      <c r="D520" t="s">
        <v>20</v>
      </c>
      <c r="E520" t="str">
        <f t="shared" si="73"/>
        <v>Dataverse</v>
      </c>
      <c r="F520">
        <v>21</v>
      </c>
      <c r="G520">
        <v>40000</v>
      </c>
      <c r="H520" s="1">
        <v>38938</v>
      </c>
      <c r="I520">
        <v>3</v>
      </c>
      <c r="J520" t="s">
        <v>57</v>
      </c>
      <c r="K520">
        <f t="shared" si="74"/>
        <v>2</v>
      </c>
      <c r="L520">
        <f t="shared" si="75"/>
        <v>5.0000000000000002E-5</v>
      </c>
      <c r="M520" t="b">
        <f t="shared" si="76"/>
        <v>1</v>
      </c>
      <c r="N520" t="b">
        <f t="shared" si="77"/>
        <v>1</v>
      </c>
      <c r="O520" t="s">
        <v>22</v>
      </c>
      <c r="P520">
        <f t="shared" si="78"/>
        <v>0.25</v>
      </c>
      <c r="Q520">
        <f t="shared" si="79"/>
        <v>0.5</v>
      </c>
      <c r="R520">
        <f t="shared" si="80"/>
        <v>0.35</v>
      </c>
    </row>
    <row r="521" spans="1:18">
      <c r="A521" t="s">
        <v>553</v>
      </c>
      <c r="B521" t="s">
        <v>60</v>
      </c>
      <c r="C521" t="str">
        <f t="shared" si="72"/>
        <v>Manufacturing and operations</v>
      </c>
      <c r="D521" t="s">
        <v>27</v>
      </c>
      <c r="E521" t="str">
        <f t="shared" si="73"/>
        <v>Technova</v>
      </c>
      <c r="F521">
        <v>11</v>
      </c>
      <c r="G521">
        <v>40000</v>
      </c>
      <c r="H521" s="1">
        <v>42830</v>
      </c>
      <c r="I521">
        <v>3</v>
      </c>
      <c r="J521" t="s">
        <v>57</v>
      </c>
      <c r="K521">
        <f t="shared" si="74"/>
        <v>2</v>
      </c>
      <c r="L521">
        <f t="shared" si="75"/>
        <v>5.0000000000000002E-5</v>
      </c>
      <c r="M521" t="b">
        <f t="shared" si="76"/>
        <v>0</v>
      </c>
      <c r="N521" t="b">
        <f t="shared" si="77"/>
        <v>1</v>
      </c>
      <c r="O521" t="s">
        <v>22</v>
      </c>
      <c r="P521">
        <f t="shared" si="78"/>
        <v>0.25</v>
      </c>
      <c r="Q521">
        <f t="shared" si="79"/>
        <v>0.5</v>
      </c>
      <c r="R521">
        <f t="shared" si="80"/>
        <v>0.35</v>
      </c>
    </row>
    <row r="522" spans="1:18">
      <c r="A522" t="s">
        <v>554</v>
      </c>
      <c r="B522" t="s">
        <v>60</v>
      </c>
      <c r="C522" t="str">
        <f t="shared" si="72"/>
        <v>Manufacturing and operations</v>
      </c>
      <c r="D522" t="s">
        <v>27</v>
      </c>
      <c r="E522" t="str">
        <f t="shared" si="73"/>
        <v>Technova</v>
      </c>
      <c r="F522">
        <v>7</v>
      </c>
      <c r="G522">
        <v>40000</v>
      </c>
      <c r="H522" s="1">
        <v>42099</v>
      </c>
      <c r="I522">
        <v>3</v>
      </c>
      <c r="J522" t="s">
        <v>57</v>
      </c>
      <c r="K522">
        <f t="shared" si="74"/>
        <v>2</v>
      </c>
      <c r="L522">
        <f t="shared" si="75"/>
        <v>5.0000000000000002E-5</v>
      </c>
      <c r="M522" t="b">
        <f t="shared" si="76"/>
        <v>0</v>
      </c>
      <c r="N522" t="b">
        <f t="shared" si="77"/>
        <v>1</v>
      </c>
      <c r="O522" t="s">
        <v>22</v>
      </c>
      <c r="P522">
        <f t="shared" si="78"/>
        <v>0.25</v>
      </c>
      <c r="Q522">
        <f t="shared" si="79"/>
        <v>0.5</v>
      </c>
      <c r="R522">
        <f t="shared" si="80"/>
        <v>0.35</v>
      </c>
    </row>
    <row r="523" spans="1:18">
      <c r="A523" t="s">
        <v>555</v>
      </c>
      <c r="B523" t="s">
        <v>60</v>
      </c>
      <c r="C523" t="str">
        <f t="shared" si="72"/>
        <v>Manufacturing and operations</v>
      </c>
      <c r="D523" t="s">
        <v>27</v>
      </c>
      <c r="E523" t="str">
        <f t="shared" si="73"/>
        <v>Technova</v>
      </c>
      <c r="F523">
        <v>16</v>
      </c>
      <c r="G523">
        <v>40000</v>
      </c>
      <c r="H523" s="1">
        <v>44799</v>
      </c>
      <c r="I523">
        <v>3</v>
      </c>
      <c r="J523" t="s">
        <v>57</v>
      </c>
      <c r="K523">
        <f t="shared" si="74"/>
        <v>2</v>
      </c>
      <c r="L523">
        <f t="shared" si="75"/>
        <v>5.0000000000000002E-5</v>
      </c>
      <c r="M523" t="b">
        <f t="shared" si="76"/>
        <v>1</v>
      </c>
      <c r="N523" t="b">
        <f t="shared" si="77"/>
        <v>1</v>
      </c>
      <c r="O523" t="s">
        <v>22</v>
      </c>
      <c r="P523">
        <f t="shared" si="78"/>
        <v>0.25</v>
      </c>
      <c r="Q523">
        <f t="shared" si="79"/>
        <v>0.5</v>
      </c>
      <c r="R523">
        <f t="shared" si="80"/>
        <v>0.35</v>
      </c>
    </row>
    <row r="524" spans="1:18">
      <c r="A524" t="s">
        <v>556</v>
      </c>
      <c r="B524" t="s">
        <v>60</v>
      </c>
      <c r="C524" t="str">
        <f t="shared" si="72"/>
        <v>Manufacturing and operations</v>
      </c>
      <c r="D524" t="s">
        <v>27</v>
      </c>
      <c r="E524" t="str">
        <f t="shared" si="73"/>
        <v>Technova</v>
      </c>
      <c r="F524">
        <v>20</v>
      </c>
      <c r="G524">
        <v>40000</v>
      </c>
      <c r="H524" s="1">
        <v>38885</v>
      </c>
      <c r="I524">
        <v>3</v>
      </c>
      <c r="J524" t="s">
        <v>57</v>
      </c>
      <c r="K524">
        <f t="shared" si="74"/>
        <v>2</v>
      </c>
      <c r="L524">
        <f t="shared" si="75"/>
        <v>5.0000000000000002E-5</v>
      </c>
      <c r="M524" t="b">
        <f t="shared" si="76"/>
        <v>1</v>
      </c>
      <c r="N524" t="b">
        <f t="shared" si="77"/>
        <v>1</v>
      </c>
      <c r="O524" t="s">
        <v>22</v>
      </c>
      <c r="P524">
        <f t="shared" si="78"/>
        <v>0.25</v>
      </c>
      <c r="Q524">
        <f t="shared" si="79"/>
        <v>0.5</v>
      </c>
      <c r="R524">
        <f t="shared" si="80"/>
        <v>0.35</v>
      </c>
    </row>
    <row r="525" spans="1:18">
      <c r="A525" t="s">
        <v>557</v>
      </c>
      <c r="B525" t="s">
        <v>60</v>
      </c>
      <c r="C525" t="str">
        <f t="shared" si="72"/>
        <v>Manufacturing and operations</v>
      </c>
      <c r="D525" t="s">
        <v>27</v>
      </c>
      <c r="E525" t="str">
        <f t="shared" si="73"/>
        <v>Technova</v>
      </c>
      <c r="F525">
        <v>15</v>
      </c>
      <c r="G525">
        <v>40000</v>
      </c>
      <c r="H525" s="1">
        <v>38814</v>
      </c>
      <c r="I525">
        <v>3</v>
      </c>
      <c r="J525" t="s">
        <v>57</v>
      </c>
      <c r="K525">
        <f t="shared" si="74"/>
        <v>2</v>
      </c>
      <c r="L525">
        <f t="shared" si="75"/>
        <v>5.0000000000000002E-5</v>
      </c>
      <c r="M525" t="b">
        <f t="shared" si="76"/>
        <v>0</v>
      </c>
      <c r="N525" t="b">
        <f t="shared" si="77"/>
        <v>1</v>
      </c>
      <c r="O525" t="s">
        <v>22</v>
      </c>
      <c r="P525">
        <f t="shared" si="78"/>
        <v>0.25</v>
      </c>
      <c r="Q525">
        <f t="shared" si="79"/>
        <v>0.5</v>
      </c>
      <c r="R525">
        <f t="shared" si="80"/>
        <v>0.35</v>
      </c>
    </row>
    <row r="526" spans="1:18">
      <c r="A526" t="s">
        <v>558</v>
      </c>
      <c r="B526" t="s">
        <v>25</v>
      </c>
      <c r="C526" t="str">
        <f t="shared" si="72"/>
        <v>Sales &amp; Marketing</v>
      </c>
      <c r="D526" t="s">
        <v>27</v>
      </c>
      <c r="E526" t="str">
        <f t="shared" si="73"/>
        <v>Technova</v>
      </c>
      <c r="F526">
        <v>10</v>
      </c>
      <c r="G526">
        <v>20000</v>
      </c>
      <c r="H526" s="1">
        <v>40087</v>
      </c>
      <c r="I526">
        <v>3</v>
      </c>
      <c r="J526" t="s">
        <v>21</v>
      </c>
      <c r="K526">
        <f t="shared" si="74"/>
        <v>1</v>
      </c>
      <c r="L526">
        <f t="shared" si="75"/>
        <v>5.0000000000000002E-5</v>
      </c>
      <c r="M526" t="b">
        <f t="shared" si="76"/>
        <v>0</v>
      </c>
      <c r="N526" t="b">
        <f t="shared" si="77"/>
        <v>1</v>
      </c>
      <c r="O526" t="s">
        <v>22</v>
      </c>
      <c r="P526">
        <f t="shared" si="78"/>
        <v>0.25</v>
      </c>
      <c r="Q526">
        <f t="shared" si="79"/>
        <v>0.5</v>
      </c>
      <c r="R526">
        <f t="shared" si="80"/>
        <v>0.35</v>
      </c>
    </row>
    <row r="527" spans="1:18">
      <c r="A527" t="s">
        <v>559</v>
      </c>
      <c r="B527" t="s">
        <v>60</v>
      </c>
      <c r="C527" t="str">
        <f t="shared" si="72"/>
        <v>Manufacturing and operations</v>
      </c>
      <c r="D527" t="s">
        <v>20</v>
      </c>
      <c r="E527" t="str">
        <f t="shared" si="73"/>
        <v>Dataverse</v>
      </c>
      <c r="F527">
        <v>10</v>
      </c>
      <c r="G527">
        <v>40000</v>
      </c>
      <c r="H527" s="1">
        <v>44595</v>
      </c>
      <c r="I527">
        <v>3</v>
      </c>
      <c r="J527" t="s">
        <v>57</v>
      </c>
      <c r="K527">
        <f t="shared" si="74"/>
        <v>2</v>
      </c>
      <c r="L527">
        <f t="shared" si="75"/>
        <v>5.0000000000000002E-5</v>
      </c>
      <c r="M527" t="b">
        <f t="shared" si="76"/>
        <v>0</v>
      </c>
      <c r="N527" t="b">
        <f t="shared" si="77"/>
        <v>1</v>
      </c>
      <c r="O527" t="s">
        <v>22</v>
      </c>
      <c r="P527">
        <f t="shared" si="78"/>
        <v>0.25</v>
      </c>
      <c r="Q527">
        <f t="shared" si="79"/>
        <v>0.5</v>
      </c>
      <c r="R527">
        <f t="shared" si="80"/>
        <v>0.35</v>
      </c>
    </row>
    <row r="528" spans="1:18">
      <c r="A528" t="s">
        <v>560</v>
      </c>
      <c r="B528" t="s">
        <v>67</v>
      </c>
      <c r="C528" t="str">
        <f t="shared" si="72"/>
        <v>Quality Assurance</v>
      </c>
      <c r="D528" t="s">
        <v>20</v>
      </c>
      <c r="E528" t="str">
        <f t="shared" si="73"/>
        <v>Dataverse</v>
      </c>
      <c r="F528">
        <v>5</v>
      </c>
      <c r="G528">
        <v>40000</v>
      </c>
      <c r="H528" s="1">
        <v>43357</v>
      </c>
      <c r="I528">
        <v>3</v>
      </c>
      <c r="J528" t="s">
        <v>57</v>
      </c>
      <c r="K528">
        <f t="shared" si="74"/>
        <v>2</v>
      </c>
      <c r="L528">
        <f t="shared" si="75"/>
        <v>5.0000000000000002E-5</v>
      </c>
      <c r="M528" t="b">
        <f t="shared" si="76"/>
        <v>0</v>
      </c>
      <c r="N528" t="b">
        <f t="shared" si="77"/>
        <v>0</v>
      </c>
      <c r="O528" t="s">
        <v>22</v>
      </c>
      <c r="P528">
        <f t="shared" si="78"/>
        <v>0.25</v>
      </c>
      <c r="Q528">
        <f t="shared" si="79"/>
        <v>0.5</v>
      </c>
      <c r="R528">
        <f t="shared" si="80"/>
        <v>0.35</v>
      </c>
    </row>
    <row r="529" spans="1:18">
      <c r="A529" t="s">
        <v>561</v>
      </c>
      <c r="B529" t="s">
        <v>19</v>
      </c>
      <c r="C529" t="str">
        <f t="shared" si="72"/>
        <v>Research &amp; Department</v>
      </c>
      <c r="D529" t="s">
        <v>20</v>
      </c>
      <c r="E529" t="str">
        <f t="shared" si="73"/>
        <v>Dataverse</v>
      </c>
      <c r="F529">
        <v>14</v>
      </c>
      <c r="G529">
        <v>26000</v>
      </c>
      <c r="H529" s="1">
        <v>43990</v>
      </c>
      <c r="I529">
        <v>4</v>
      </c>
      <c r="J529" t="s">
        <v>21</v>
      </c>
      <c r="K529">
        <f t="shared" si="74"/>
        <v>1</v>
      </c>
      <c r="L529">
        <f t="shared" si="75"/>
        <v>3.8461538461538463E-5</v>
      </c>
      <c r="M529" t="b">
        <f t="shared" si="76"/>
        <v>0</v>
      </c>
      <c r="N529" t="b">
        <f t="shared" si="77"/>
        <v>1</v>
      </c>
      <c r="O529" t="s">
        <v>22</v>
      </c>
      <c r="P529">
        <f t="shared" si="78"/>
        <v>7.6923076923076913E-2</v>
      </c>
      <c r="Q529">
        <f t="shared" si="79"/>
        <v>0.75</v>
      </c>
      <c r="R529">
        <f t="shared" si="80"/>
        <v>0.3461538461538462</v>
      </c>
    </row>
    <row r="530" spans="1:18">
      <c r="A530" t="s">
        <v>562</v>
      </c>
      <c r="B530" t="s">
        <v>224</v>
      </c>
      <c r="C530" t="str">
        <f t="shared" si="72"/>
        <v>Business Strategy</v>
      </c>
      <c r="D530" t="s">
        <v>27</v>
      </c>
      <c r="E530" t="str">
        <f t="shared" si="73"/>
        <v>Technova</v>
      </c>
      <c r="F530">
        <v>19</v>
      </c>
      <c r="G530">
        <v>78000</v>
      </c>
      <c r="H530" s="1">
        <v>38978</v>
      </c>
      <c r="I530">
        <v>4</v>
      </c>
      <c r="J530" t="s">
        <v>174</v>
      </c>
      <c r="K530">
        <f t="shared" si="74"/>
        <v>3</v>
      </c>
      <c r="L530">
        <f t="shared" si="75"/>
        <v>3.8461538461538463E-5</v>
      </c>
      <c r="M530" t="b">
        <f t="shared" si="76"/>
        <v>1</v>
      </c>
      <c r="N530" t="b">
        <f t="shared" si="77"/>
        <v>1</v>
      </c>
      <c r="O530" t="s">
        <v>22</v>
      </c>
      <c r="P530">
        <f t="shared" si="78"/>
        <v>7.6923076923076913E-2</v>
      </c>
      <c r="Q530">
        <f t="shared" si="79"/>
        <v>0.75</v>
      </c>
      <c r="R530">
        <f t="shared" si="80"/>
        <v>0.3461538461538462</v>
      </c>
    </row>
    <row r="531" spans="1:18">
      <c r="A531" t="s">
        <v>563</v>
      </c>
      <c r="B531" t="s">
        <v>70</v>
      </c>
      <c r="C531" t="str">
        <f t="shared" si="72"/>
        <v>Customer Experience</v>
      </c>
      <c r="D531" t="s">
        <v>20</v>
      </c>
      <c r="E531" t="str">
        <f t="shared" si="73"/>
        <v>Dataverse</v>
      </c>
      <c r="F531">
        <v>23</v>
      </c>
      <c r="G531">
        <v>33000</v>
      </c>
      <c r="H531" s="1">
        <v>40910</v>
      </c>
      <c r="I531">
        <v>2</v>
      </c>
      <c r="J531" t="s">
        <v>57</v>
      </c>
      <c r="K531">
        <f t="shared" si="74"/>
        <v>2</v>
      </c>
      <c r="L531">
        <f t="shared" si="75"/>
        <v>6.0606060606060605E-5</v>
      </c>
      <c r="M531" t="b">
        <f t="shared" si="76"/>
        <v>1</v>
      </c>
      <c r="N531" t="b">
        <f t="shared" si="77"/>
        <v>1</v>
      </c>
      <c r="O531" t="s">
        <v>22</v>
      </c>
      <c r="P531">
        <f t="shared" si="78"/>
        <v>0.40909090909090901</v>
      </c>
      <c r="Q531">
        <f t="shared" si="79"/>
        <v>0.25</v>
      </c>
      <c r="R531">
        <f t="shared" si="80"/>
        <v>0.3454545454545454</v>
      </c>
    </row>
    <row r="532" spans="1:18">
      <c r="A532" t="s">
        <v>564</v>
      </c>
      <c r="B532" t="s">
        <v>102</v>
      </c>
      <c r="C532" t="str">
        <f t="shared" si="72"/>
        <v>Finance</v>
      </c>
      <c r="D532" t="s">
        <v>27</v>
      </c>
      <c r="E532" t="str">
        <f t="shared" si="73"/>
        <v>Technova</v>
      </c>
      <c r="F532">
        <v>19</v>
      </c>
      <c r="G532">
        <v>33000</v>
      </c>
      <c r="H532" s="1">
        <v>44833</v>
      </c>
      <c r="I532">
        <v>2</v>
      </c>
      <c r="J532" t="s">
        <v>57</v>
      </c>
      <c r="K532">
        <f t="shared" si="74"/>
        <v>2</v>
      </c>
      <c r="L532">
        <f t="shared" si="75"/>
        <v>6.0606060606060605E-5</v>
      </c>
      <c r="M532" t="b">
        <f t="shared" si="76"/>
        <v>1</v>
      </c>
      <c r="N532" t="b">
        <f t="shared" si="77"/>
        <v>1</v>
      </c>
      <c r="O532" t="s">
        <v>22</v>
      </c>
      <c r="P532">
        <f t="shared" si="78"/>
        <v>0.40909090909090901</v>
      </c>
      <c r="Q532">
        <f t="shared" si="79"/>
        <v>0.25</v>
      </c>
      <c r="R532">
        <f t="shared" si="80"/>
        <v>0.3454545454545454</v>
      </c>
    </row>
    <row r="533" spans="1:18">
      <c r="A533" t="s">
        <v>565</v>
      </c>
      <c r="B533" t="s">
        <v>60</v>
      </c>
      <c r="C533" t="str">
        <f t="shared" si="72"/>
        <v>Manufacturing and operations</v>
      </c>
      <c r="D533" t="s">
        <v>20</v>
      </c>
      <c r="E533" t="str">
        <f t="shared" si="73"/>
        <v>Dataverse</v>
      </c>
      <c r="F533">
        <v>22</v>
      </c>
      <c r="G533">
        <v>33000</v>
      </c>
      <c r="H533" s="1">
        <v>45085</v>
      </c>
      <c r="I533">
        <v>2</v>
      </c>
      <c r="J533" t="s">
        <v>57</v>
      </c>
      <c r="K533">
        <f t="shared" si="74"/>
        <v>2</v>
      </c>
      <c r="L533">
        <f t="shared" si="75"/>
        <v>6.0606060606060605E-5</v>
      </c>
      <c r="M533" t="b">
        <f t="shared" si="76"/>
        <v>1</v>
      </c>
      <c r="N533" t="b">
        <f t="shared" si="77"/>
        <v>1</v>
      </c>
      <c r="O533" t="s">
        <v>22</v>
      </c>
      <c r="P533">
        <f t="shared" si="78"/>
        <v>0.40909090909090901</v>
      </c>
      <c r="Q533">
        <f t="shared" si="79"/>
        <v>0.25</v>
      </c>
      <c r="R533">
        <f t="shared" si="80"/>
        <v>0.3454545454545454</v>
      </c>
    </row>
    <row r="534" spans="1:18">
      <c r="A534" t="s">
        <v>566</v>
      </c>
      <c r="B534" t="s">
        <v>60</v>
      </c>
      <c r="C534" t="str">
        <f t="shared" si="72"/>
        <v>Manufacturing and operations</v>
      </c>
      <c r="D534" t="s">
        <v>27</v>
      </c>
      <c r="E534" t="str">
        <f t="shared" si="73"/>
        <v>Technova</v>
      </c>
      <c r="F534">
        <v>14</v>
      </c>
      <c r="G534">
        <v>33000</v>
      </c>
      <c r="H534" s="1">
        <v>43597</v>
      </c>
      <c r="I534">
        <v>2</v>
      </c>
      <c r="J534" t="s">
        <v>57</v>
      </c>
      <c r="K534">
        <f t="shared" si="74"/>
        <v>2</v>
      </c>
      <c r="L534">
        <f t="shared" si="75"/>
        <v>6.0606060606060605E-5</v>
      </c>
      <c r="M534" t="b">
        <f t="shared" si="76"/>
        <v>0</v>
      </c>
      <c r="N534" t="b">
        <f t="shared" si="77"/>
        <v>1</v>
      </c>
      <c r="O534" t="s">
        <v>22</v>
      </c>
      <c r="P534">
        <f t="shared" si="78"/>
        <v>0.40909090909090901</v>
      </c>
      <c r="Q534">
        <f t="shared" si="79"/>
        <v>0.25</v>
      </c>
      <c r="R534">
        <f t="shared" si="80"/>
        <v>0.3454545454545454</v>
      </c>
    </row>
    <row r="535" spans="1:18">
      <c r="A535" t="s">
        <v>567</v>
      </c>
      <c r="B535" t="s">
        <v>60</v>
      </c>
      <c r="C535" t="str">
        <f t="shared" si="72"/>
        <v>Manufacturing and operations</v>
      </c>
      <c r="D535" t="s">
        <v>20</v>
      </c>
      <c r="E535" t="str">
        <f t="shared" si="73"/>
        <v>Dataverse</v>
      </c>
      <c r="F535">
        <v>25</v>
      </c>
      <c r="G535">
        <v>33000</v>
      </c>
      <c r="H535" s="1">
        <v>42909</v>
      </c>
      <c r="I535">
        <v>2</v>
      </c>
      <c r="J535" t="s">
        <v>57</v>
      </c>
      <c r="K535">
        <f t="shared" si="74"/>
        <v>2</v>
      </c>
      <c r="L535">
        <f t="shared" si="75"/>
        <v>6.0606060606060605E-5</v>
      </c>
      <c r="M535" t="b">
        <f t="shared" si="76"/>
        <v>1</v>
      </c>
      <c r="N535" t="b">
        <f t="shared" si="77"/>
        <v>1</v>
      </c>
      <c r="O535" t="s">
        <v>22</v>
      </c>
      <c r="P535">
        <f t="shared" si="78"/>
        <v>0.40909090909090901</v>
      </c>
      <c r="Q535">
        <f t="shared" si="79"/>
        <v>0.25</v>
      </c>
      <c r="R535">
        <f t="shared" si="80"/>
        <v>0.3454545454545454</v>
      </c>
    </row>
    <row r="536" spans="1:18">
      <c r="A536" t="s">
        <v>568</v>
      </c>
      <c r="B536" t="s">
        <v>60</v>
      </c>
      <c r="C536" t="str">
        <f t="shared" si="72"/>
        <v>Manufacturing and operations</v>
      </c>
      <c r="D536" t="s">
        <v>27</v>
      </c>
      <c r="E536" t="str">
        <f t="shared" si="73"/>
        <v>Technova</v>
      </c>
      <c r="F536">
        <v>16</v>
      </c>
      <c r="G536">
        <v>33000</v>
      </c>
      <c r="H536" s="1">
        <v>41774</v>
      </c>
      <c r="I536">
        <v>2</v>
      </c>
      <c r="J536" t="s">
        <v>57</v>
      </c>
      <c r="K536">
        <f t="shared" si="74"/>
        <v>2</v>
      </c>
      <c r="L536">
        <f t="shared" si="75"/>
        <v>6.0606060606060605E-5</v>
      </c>
      <c r="M536" t="b">
        <f t="shared" si="76"/>
        <v>1</v>
      </c>
      <c r="N536" t="b">
        <f t="shared" si="77"/>
        <v>1</v>
      </c>
      <c r="O536" t="s">
        <v>22</v>
      </c>
      <c r="P536">
        <f t="shared" si="78"/>
        <v>0.40909090909090901</v>
      </c>
      <c r="Q536">
        <f t="shared" si="79"/>
        <v>0.25</v>
      </c>
      <c r="R536">
        <f t="shared" si="80"/>
        <v>0.3454545454545454</v>
      </c>
    </row>
    <row r="537" spans="1:18">
      <c r="A537" t="s">
        <v>569</v>
      </c>
      <c r="B537" t="s">
        <v>60</v>
      </c>
      <c r="C537" t="str">
        <f t="shared" si="72"/>
        <v>Manufacturing and operations</v>
      </c>
      <c r="D537" t="s">
        <v>20</v>
      </c>
      <c r="E537" t="str">
        <f t="shared" si="73"/>
        <v>Dataverse</v>
      </c>
      <c r="F537">
        <v>4</v>
      </c>
      <c r="G537">
        <v>33000</v>
      </c>
      <c r="H537" s="1">
        <v>43555</v>
      </c>
      <c r="I537">
        <v>2</v>
      </c>
      <c r="J537" t="s">
        <v>57</v>
      </c>
      <c r="K537">
        <f t="shared" si="74"/>
        <v>2</v>
      </c>
      <c r="L537">
        <f t="shared" si="75"/>
        <v>6.0606060606060605E-5</v>
      </c>
      <c r="M537" t="b">
        <f t="shared" si="76"/>
        <v>0</v>
      </c>
      <c r="N537" t="b">
        <f t="shared" si="77"/>
        <v>0</v>
      </c>
      <c r="O537" t="s">
        <v>22</v>
      </c>
      <c r="P537">
        <f t="shared" si="78"/>
        <v>0.40909090909090901</v>
      </c>
      <c r="Q537">
        <f t="shared" si="79"/>
        <v>0.25</v>
      </c>
      <c r="R537">
        <f t="shared" si="80"/>
        <v>0.3454545454545454</v>
      </c>
    </row>
    <row r="538" spans="1:18">
      <c r="A538" t="s">
        <v>570</v>
      </c>
      <c r="B538" t="s">
        <v>25</v>
      </c>
      <c r="C538" t="str">
        <f t="shared" si="72"/>
        <v>Sales &amp; Marketing</v>
      </c>
      <c r="D538" t="s">
        <v>20</v>
      </c>
      <c r="E538" t="str">
        <f t="shared" si="73"/>
        <v>Dataverse</v>
      </c>
      <c r="F538">
        <v>14</v>
      </c>
      <c r="G538">
        <v>14000</v>
      </c>
      <c r="H538" s="1">
        <v>39862</v>
      </c>
      <c r="I538">
        <v>1</v>
      </c>
      <c r="J538" t="s">
        <v>21</v>
      </c>
      <c r="K538">
        <f t="shared" si="74"/>
        <v>1</v>
      </c>
      <c r="L538">
        <f t="shared" si="75"/>
        <v>7.1428571428571434E-5</v>
      </c>
      <c r="M538" t="b">
        <f t="shared" si="76"/>
        <v>0</v>
      </c>
      <c r="N538" t="b">
        <f t="shared" si="77"/>
        <v>1</v>
      </c>
      <c r="O538" t="s">
        <v>22</v>
      </c>
      <c r="P538">
        <f t="shared" si="78"/>
        <v>0.57142857142857151</v>
      </c>
      <c r="Q538">
        <f t="shared" si="79"/>
        <v>0</v>
      </c>
      <c r="R538">
        <f t="shared" si="80"/>
        <v>0.34285714285714292</v>
      </c>
    </row>
    <row r="539" spans="1:18">
      <c r="A539" t="s">
        <v>571</v>
      </c>
      <c r="B539" t="s">
        <v>70</v>
      </c>
      <c r="C539" t="str">
        <f t="shared" si="72"/>
        <v>Customer Experience</v>
      </c>
      <c r="D539" t="s">
        <v>27</v>
      </c>
      <c r="E539" t="str">
        <f t="shared" si="73"/>
        <v>Technova</v>
      </c>
      <c r="F539">
        <v>23</v>
      </c>
      <c r="G539">
        <v>61000</v>
      </c>
      <c r="H539" s="1">
        <v>41460</v>
      </c>
      <c r="I539">
        <v>3</v>
      </c>
      <c r="J539" t="s">
        <v>174</v>
      </c>
      <c r="K539">
        <f t="shared" si="74"/>
        <v>3</v>
      </c>
      <c r="L539">
        <f t="shared" si="75"/>
        <v>4.9180327868852456E-5</v>
      </c>
      <c r="M539" t="b">
        <f t="shared" si="76"/>
        <v>1</v>
      </c>
      <c r="N539" t="b">
        <f t="shared" si="77"/>
        <v>1</v>
      </c>
      <c r="O539" t="s">
        <v>22</v>
      </c>
      <c r="P539">
        <f t="shared" si="78"/>
        <v>0.23770491803278682</v>
      </c>
      <c r="Q539">
        <f t="shared" si="79"/>
        <v>0.5</v>
      </c>
      <c r="R539">
        <f t="shared" si="80"/>
        <v>0.34262295081967209</v>
      </c>
    </row>
    <row r="540" spans="1:18">
      <c r="A540" t="s">
        <v>572</v>
      </c>
      <c r="B540" t="s">
        <v>102</v>
      </c>
      <c r="C540" t="str">
        <f t="shared" si="72"/>
        <v>Finance</v>
      </c>
      <c r="D540" t="s">
        <v>27</v>
      </c>
      <c r="E540" t="str">
        <f t="shared" si="73"/>
        <v>Technova</v>
      </c>
      <c r="F540">
        <v>6</v>
      </c>
      <c r="G540">
        <v>41000</v>
      </c>
      <c r="H540" s="1">
        <v>38195</v>
      </c>
      <c r="I540">
        <v>3</v>
      </c>
      <c r="J540" t="s">
        <v>57</v>
      </c>
      <c r="K540">
        <f t="shared" si="74"/>
        <v>2</v>
      </c>
      <c r="L540">
        <f t="shared" si="75"/>
        <v>4.8780487804878051E-5</v>
      </c>
      <c r="M540" t="b">
        <f t="shared" si="76"/>
        <v>0</v>
      </c>
      <c r="N540" t="b">
        <f t="shared" si="77"/>
        <v>1</v>
      </c>
      <c r="O540" t="s">
        <v>22</v>
      </c>
      <c r="P540">
        <f t="shared" si="78"/>
        <v>0.23170731707317074</v>
      </c>
      <c r="Q540">
        <f t="shared" si="79"/>
        <v>0.5</v>
      </c>
      <c r="R540">
        <f t="shared" si="80"/>
        <v>0.33902439024390246</v>
      </c>
    </row>
    <row r="541" spans="1:18">
      <c r="A541" t="s">
        <v>573</v>
      </c>
      <c r="B541" t="s">
        <v>60</v>
      </c>
      <c r="C541" t="str">
        <f t="shared" si="72"/>
        <v>Manufacturing and operations</v>
      </c>
      <c r="D541" t="s">
        <v>20</v>
      </c>
      <c r="E541" t="str">
        <f t="shared" si="73"/>
        <v>Dataverse</v>
      </c>
      <c r="F541">
        <v>14</v>
      </c>
      <c r="G541">
        <v>41000</v>
      </c>
      <c r="H541" s="1">
        <v>38520</v>
      </c>
      <c r="I541">
        <v>3</v>
      </c>
      <c r="J541" t="s">
        <v>57</v>
      </c>
      <c r="K541">
        <f t="shared" si="74"/>
        <v>2</v>
      </c>
      <c r="L541">
        <f t="shared" si="75"/>
        <v>4.8780487804878051E-5</v>
      </c>
      <c r="M541" t="b">
        <f t="shared" si="76"/>
        <v>0</v>
      </c>
      <c r="N541" t="b">
        <f t="shared" si="77"/>
        <v>1</v>
      </c>
      <c r="O541" t="s">
        <v>22</v>
      </c>
      <c r="P541">
        <f t="shared" si="78"/>
        <v>0.23170731707317074</v>
      </c>
      <c r="Q541">
        <f t="shared" si="79"/>
        <v>0.5</v>
      </c>
      <c r="R541">
        <f t="shared" si="80"/>
        <v>0.33902439024390246</v>
      </c>
    </row>
    <row r="542" spans="1:18">
      <c r="A542" t="s">
        <v>574</v>
      </c>
      <c r="B542" t="s">
        <v>60</v>
      </c>
      <c r="C542" t="str">
        <f t="shared" si="72"/>
        <v>Manufacturing and operations</v>
      </c>
      <c r="D542" t="s">
        <v>27</v>
      </c>
      <c r="E542" t="str">
        <f t="shared" si="73"/>
        <v>Technova</v>
      </c>
      <c r="F542">
        <v>17</v>
      </c>
      <c r="G542">
        <v>41000</v>
      </c>
      <c r="H542" s="1">
        <v>40937</v>
      </c>
      <c r="I542">
        <v>3</v>
      </c>
      <c r="J542" t="s">
        <v>57</v>
      </c>
      <c r="K542">
        <f t="shared" si="74"/>
        <v>2</v>
      </c>
      <c r="L542">
        <f t="shared" si="75"/>
        <v>4.8780487804878051E-5</v>
      </c>
      <c r="M542" t="b">
        <f t="shared" si="76"/>
        <v>1</v>
      </c>
      <c r="N542" t="b">
        <f t="shared" si="77"/>
        <v>1</v>
      </c>
      <c r="O542" t="s">
        <v>22</v>
      </c>
      <c r="P542">
        <f t="shared" si="78"/>
        <v>0.23170731707317074</v>
      </c>
      <c r="Q542">
        <f t="shared" si="79"/>
        <v>0.5</v>
      </c>
      <c r="R542">
        <f t="shared" si="80"/>
        <v>0.33902439024390246</v>
      </c>
    </row>
    <row r="543" spans="1:18">
      <c r="A543" t="s">
        <v>575</v>
      </c>
      <c r="B543" t="s">
        <v>60</v>
      </c>
      <c r="C543" t="str">
        <f t="shared" si="72"/>
        <v>Manufacturing and operations</v>
      </c>
      <c r="D543" t="s">
        <v>20</v>
      </c>
      <c r="E543" t="str">
        <f t="shared" si="73"/>
        <v>Dataverse</v>
      </c>
      <c r="F543">
        <v>18</v>
      </c>
      <c r="G543">
        <v>41000</v>
      </c>
      <c r="H543" s="1">
        <v>44583</v>
      </c>
      <c r="I543">
        <v>3</v>
      </c>
      <c r="J543" t="s">
        <v>57</v>
      </c>
      <c r="K543">
        <f t="shared" si="74"/>
        <v>2</v>
      </c>
      <c r="L543">
        <f t="shared" si="75"/>
        <v>4.8780487804878051E-5</v>
      </c>
      <c r="M543" t="b">
        <f t="shared" si="76"/>
        <v>1</v>
      </c>
      <c r="N543" t="b">
        <f t="shared" si="77"/>
        <v>1</v>
      </c>
      <c r="O543" t="s">
        <v>22</v>
      </c>
      <c r="P543">
        <f t="shared" si="78"/>
        <v>0.23170731707317074</v>
      </c>
      <c r="Q543">
        <f t="shared" si="79"/>
        <v>0.5</v>
      </c>
      <c r="R543">
        <f t="shared" si="80"/>
        <v>0.33902439024390246</v>
      </c>
    </row>
    <row r="544" spans="1:18">
      <c r="A544" t="s">
        <v>576</v>
      </c>
      <c r="B544" t="s">
        <v>60</v>
      </c>
      <c r="C544" t="str">
        <f t="shared" si="72"/>
        <v>Manufacturing and operations</v>
      </c>
      <c r="D544" t="s">
        <v>27</v>
      </c>
      <c r="E544" t="str">
        <f t="shared" si="73"/>
        <v>Technova</v>
      </c>
      <c r="F544">
        <v>21</v>
      </c>
      <c r="G544">
        <v>41000</v>
      </c>
      <c r="H544" s="1">
        <v>40203</v>
      </c>
      <c r="I544">
        <v>3</v>
      </c>
      <c r="J544" t="s">
        <v>57</v>
      </c>
      <c r="K544">
        <f t="shared" si="74"/>
        <v>2</v>
      </c>
      <c r="L544">
        <f t="shared" si="75"/>
        <v>4.8780487804878051E-5</v>
      </c>
      <c r="M544" t="b">
        <f t="shared" si="76"/>
        <v>1</v>
      </c>
      <c r="N544" t="b">
        <f t="shared" si="77"/>
        <v>1</v>
      </c>
      <c r="O544" t="s">
        <v>22</v>
      </c>
      <c r="P544">
        <f t="shared" si="78"/>
        <v>0.23170731707317074</v>
      </c>
      <c r="Q544">
        <f t="shared" si="79"/>
        <v>0.5</v>
      </c>
      <c r="R544">
        <f t="shared" si="80"/>
        <v>0.33902439024390246</v>
      </c>
    </row>
    <row r="545" spans="1:18">
      <c r="A545" t="s">
        <v>577</v>
      </c>
      <c r="B545" t="s">
        <v>67</v>
      </c>
      <c r="C545" t="str">
        <f t="shared" si="72"/>
        <v>Quality Assurance</v>
      </c>
      <c r="D545" t="s">
        <v>20</v>
      </c>
      <c r="E545" t="str">
        <f t="shared" si="73"/>
        <v>Dataverse</v>
      </c>
      <c r="F545">
        <v>22</v>
      </c>
      <c r="G545">
        <v>41000</v>
      </c>
      <c r="H545" s="1">
        <v>42755</v>
      </c>
      <c r="I545">
        <v>3</v>
      </c>
      <c r="J545" t="s">
        <v>57</v>
      </c>
      <c r="K545">
        <f t="shared" si="74"/>
        <v>2</v>
      </c>
      <c r="L545">
        <f t="shared" si="75"/>
        <v>4.8780487804878051E-5</v>
      </c>
      <c r="M545" t="b">
        <f t="shared" si="76"/>
        <v>1</v>
      </c>
      <c r="N545" t="b">
        <f t="shared" si="77"/>
        <v>1</v>
      </c>
      <c r="O545" t="s">
        <v>22</v>
      </c>
      <c r="P545">
        <f t="shared" si="78"/>
        <v>0.23170731707317074</v>
      </c>
      <c r="Q545">
        <f t="shared" si="79"/>
        <v>0.5</v>
      </c>
      <c r="R545">
        <f t="shared" si="80"/>
        <v>0.33902439024390246</v>
      </c>
    </row>
    <row r="546" spans="1:18">
      <c r="A546" t="s">
        <v>578</v>
      </c>
      <c r="B546" t="s">
        <v>67</v>
      </c>
      <c r="C546" t="str">
        <f t="shared" si="72"/>
        <v>Quality Assurance</v>
      </c>
      <c r="D546" t="s">
        <v>20</v>
      </c>
      <c r="E546" t="str">
        <f t="shared" si="73"/>
        <v>Dataverse</v>
      </c>
      <c r="F546">
        <v>7</v>
      </c>
      <c r="G546">
        <v>41000</v>
      </c>
      <c r="H546" s="1">
        <v>42543</v>
      </c>
      <c r="I546">
        <v>3</v>
      </c>
      <c r="J546" t="s">
        <v>57</v>
      </c>
      <c r="K546">
        <f t="shared" si="74"/>
        <v>2</v>
      </c>
      <c r="L546">
        <f t="shared" si="75"/>
        <v>4.8780487804878051E-5</v>
      </c>
      <c r="M546" t="b">
        <f t="shared" si="76"/>
        <v>0</v>
      </c>
      <c r="N546" t="b">
        <f t="shared" si="77"/>
        <v>1</v>
      </c>
      <c r="O546" t="s">
        <v>22</v>
      </c>
      <c r="P546">
        <f t="shared" si="78"/>
        <v>0.23170731707317074</v>
      </c>
      <c r="Q546">
        <f t="shared" si="79"/>
        <v>0.5</v>
      </c>
      <c r="R546">
        <f t="shared" si="80"/>
        <v>0.33902439024390246</v>
      </c>
    </row>
    <row r="547" spans="1:18">
      <c r="A547" t="s">
        <v>579</v>
      </c>
      <c r="B547" t="s">
        <v>204</v>
      </c>
      <c r="C547" t="str">
        <f t="shared" si="72"/>
        <v>Administrative Services</v>
      </c>
      <c r="D547" t="s">
        <v>27</v>
      </c>
      <c r="E547" t="str">
        <f t="shared" si="73"/>
        <v>Technova</v>
      </c>
      <c r="F547">
        <v>18</v>
      </c>
      <c r="G547">
        <v>62000</v>
      </c>
      <c r="H547" s="1">
        <v>42118</v>
      </c>
      <c r="I547">
        <v>3</v>
      </c>
      <c r="J547" t="s">
        <v>174</v>
      </c>
      <c r="K547">
        <f t="shared" si="74"/>
        <v>3</v>
      </c>
      <c r="L547">
        <f t="shared" si="75"/>
        <v>4.8387096774193547E-5</v>
      </c>
      <c r="M547" t="b">
        <f t="shared" si="76"/>
        <v>1</v>
      </c>
      <c r="N547" t="b">
        <f t="shared" si="77"/>
        <v>1</v>
      </c>
      <c r="O547" t="s">
        <v>22</v>
      </c>
      <c r="P547">
        <f t="shared" si="78"/>
        <v>0.22580645161290316</v>
      </c>
      <c r="Q547">
        <f t="shared" si="79"/>
        <v>0.5</v>
      </c>
      <c r="R547">
        <f t="shared" si="80"/>
        <v>0.3354838709677419</v>
      </c>
    </row>
    <row r="548" spans="1:18">
      <c r="A548" t="s">
        <v>580</v>
      </c>
      <c r="B548" t="s">
        <v>19</v>
      </c>
      <c r="C548" t="str">
        <f t="shared" si="72"/>
        <v>Research &amp; Department</v>
      </c>
      <c r="D548" t="s">
        <v>27</v>
      </c>
      <c r="E548" t="str">
        <f t="shared" si="73"/>
        <v>Technova</v>
      </c>
      <c r="F548">
        <v>21</v>
      </c>
      <c r="G548">
        <v>27000</v>
      </c>
      <c r="H548" s="1">
        <v>43237</v>
      </c>
      <c r="I548">
        <v>4</v>
      </c>
      <c r="J548" t="s">
        <v>21</v>
      </c>
      <c r="K548">
        <f t="shared" si="74"/>
        <v>1</v>
      </c>
      <c r="L548">
        <f t="shared" si="75"/>
        <v>3.7037037037037037E-5</v>
      </c>
      <c r="M548" t="b">
        <f t="shared" si="76"/>
        <v>1</v>
      </c>
      <c r="N548" t="b">
        <f t="shared" si="77"/>
        <v>1</v>
      </c>
      <c r="O548" t="s">
        <v>22</v>
      </c>
      <c r="P548">
        <f t="shared" si="78"/>
        <v>5.5555555555555525E-2</v>
      </c>
      <c r="Q548">
        <f t="shared" si="79"/>
        <v>0.75</v>
      </c>
      <c r="R548">
        <f t="shared" si="80"/>
        <v>0.33333333333333337</v>
      </c>
    </row>
    <row r="549" spans="1:18">
      <c r="A549" t="s">
        <v>581</v>
      </c>
      <c r="B549" t="s">
        <v>19</v>
      </c>
      <c r="C549" t="str">
        <f t="shared" si="72"/>
        <v>Research &amp; Department</v>
      </c>
      <c r="D549" t="s">
        <v>27</v>
      </c>
      <c r="E549" t="str">
        <f t="shared" si="73"/>
        <v>Technova</v>
      </c>
      <c r="F549">
        <v>14</v>
      </c>
      <c r="G549">
        <v>27000</v>
      </c>
      <c r="H549" s="1">
        <v>44816</v>
      </c>
      <c r="I549">
        <v>4</v>
      </c>
      <c r="J549" t="s">
        <v>21</v>
      </c>
      <c r="K549">
        <f t="shared" si="74"/>
        <v>1</v>
      </c>
      <c r="L549">
        <f t="shared" si="75"/>
        <v>3.7037037037037037E-5</v>
      </c>
      <c r="M549" t="b">
        <f t="shared" si="76"/>
        <v>0</v>
      </c>
      <c r="N549" t="b">
        <f t="shared" si="77"/>
        <v>1</v>
      </c>
      <c r="O549" t="s">
        <v>22</v>
      </c>
      <c r="P549">
        <f t="shared" si="78"/>
        <v>5.5555555555555525E-2</v>
      </c>
      <c r="Q549">
        <f t="shared" si="79"/>
        <v>0.75</v>
      </c>
      <c r="R549">
        <f t="shared" si="80"/>
        <v>0.33333333333333337</v>
      </c>
    </row>
    <row r="550" spans="1:18">
      <c r="A550" t="s">
        <v>582</v>
      </c>
      <c r="B550" t="s">
        <v>70</v>
      </c>
      <c r="C550" t="str">
        <f t="shared" si="72"/>
        <v>Customer Experience</v>
      </c>
      <c r="D550" t="s">
        <v>20</v>
      </c>
      <c r="E550" t="str">
        <f t="shared" si="73"/>
        <v>Dataverse</v>
      </c>
      <c r="F550">
        <v>23</v>
      </c>
      <c r="G550">
        <v>34000</v>
      </c>
      <c r="H550" s="1">
        <v>39686</v>
      </c>
      <c r="I550">
        <v>2</v>
      </c>
      <c r="J550" t="s">
        <v>57</v>
      </c>
      <c r="K550">
        <f t="shared" si="74"/>
        <v>2</v>
      </c>
      <c r="L550">
        <f t="shared" si="75"/>
        <v>5.8823529411764708E-5</v>
      </c>
      <c r="M550" t="b">
        <f t="shared" si="76"/>
        <v>1</v>
      </c>
      <c r="N550" t="b">
        <f t="shared" si="77"/>
        <v>1</v>
      </c>
      <c r="O550" t="s">
        <v>22</v>
      </c>
      <c r="P550">
        <f t="shared" si="78"/>
        <v>0.38235294117647056</v>
      </c>
      <c r="Q550">
        <f t="shared" si="79"/>
        <v>0.25</v>
      </c>
      <c r="R550">
        <f t="shared" si="80"/>
        <v>0.32941176470588229</v>
      </c>
    </row>
    <row r="551" spans="1:18">
      <c r="A551" t="s">
        <v>583</v>
      </c>
      <c r="B551" t="s">
        <v>102</v>
      </c>
      <c r="C551" t="str">
        <f t="shared" si="72"/>
        <v>Finance</v>
      </c>
      <c r="D551" t="s">
        <v>27</v>
      </c>
      <c r="E551" t="str">
        <f t="shared" si="73"/>
        <v>Technova</v>
      </c>
      <c r="F551">
        <v>16</v>
      </c>
      <c r="G551">
        <v>34000</v>
      </c>
      <c r="H551" s="1">
        <v>44183</v>
      </c>
      <c r="I551">
        <v>2</v>
      </c>
      <c r="J551" t="s">
        <v>57</v>
      </c>
      <c r="K551">
        <f t="shared" si="74"/>
        <v>2</v>
      </c>
      <c r="L551">
        <f t="shared" si="75"/>
        <v>5.8823529411764708E-5</v>
      </c>
      <c r="M551" t="b">
        <f t="shared" si="76"/>
        <v>1</v>
      </c>
      <c r="N551" t="b">
        <f t="shared" si="77"/>
        <v>1</v>
      </c>
      <c r="O551" t="s">
        <v>22</v>
      </c>
      <c r="P551">
        <f t="shared" si="78"/>
        <v>0.38235294117647056</v>
      </c>
      <c r="Q551">
        <f t="shared" si="79"/>
        <v>0.25</v>
      </c>
      <c r="R551">
        <f t="shared" si="80"/>
        <v>0.32941176470588229</v>
      </c>
    </row>
    <row r="552" spans="1:18">
      <c r="A552" t="s">
        <v>584</v>
      </c>
      <c r="B552" t="s">
        <v>19</v>
      </c>
      <c r="C552" t="str">
        <f t="shared" si="72"/>
        <v>Research &amp; Department</v>
      </c>
      <c r="D552" t="s">
        <v>27</v>
      </c>
      <c r="E552" t="str">
        <f t="shared" si="73"/>
        <v>Technova</v>
      </c>
      <c r="F552">
        <v>14</v>
      </c>
      <c r="G552">
        <v>17000</v>
      </c>
      <c r="H552" s="1">
        <v>41006</v>
      </c>
      <c r="I552">
        <v>2</v>
      </c>
      <c r="J552" t="s">
        <v>21</v>
      </c>
      <c r="K552">
        <f t="shared" si="74"/>
        <v>1</v>
      </c>
      <c r="L552">
        <f t="shared" si="75"/>
        <v>5.8823529411764708E-5</v>
      </c>
      <c r="M552" t="b">
        <f t="shared" si="76"/>
        <v>0</v>
      </c>
      <c r="N552" t="b">
        <f t="shared" si="77"/>
        <v>1</v>
      </c>
      <c r="O552" t="s">
        <v>22</v>
      </c>
      <c r="P552">
        <f t="shared" si="78"/>
        <v>0.38235294117647056</v>
      </c>
      <c r="Q552">
        <f t="shared" si="79"/>
        <v>0.25</v>
      </c>
      <c r="R552">
        <f t="shared" si="80"/>
        <v>0.32941176470588229</v>
      </c>
    </row>
    <row r="553" spans="1:18">
      <c r="A553" t="s">
        <v>585</v>
      </c>
      <c r="B553" t="s">
        <v>74</v>
      </c>
      <c r="C553" t="str">
        <f t="shared" si="72"/>
        <v>Human Resources</v>
      </c>
      <c r="D553" t="s">
        <v>27</v>
      </c>
      <c r="E553" t="str">
        <f t="shared" si="73"/>
        <v>Technova</v>
      </c>
      <c r="F553">
        <v>2</v>
      </c>
      <c r="G553">
        <v>34000</v>
      </c>
      <c r="H553" s="1">
        <v>44006</v>
      </c>
      <c r="I553">
        <v>2</v>
      </c>
      <c r="J553" t="s">
        <v>57</v>
      </c>
      <c r="K553">
        <f t="shared" si="74"/>
        <v>2</v>
      </c>
      <c r="L553">
        <f t="shared" si="75"/>
        <v>5.8823529411764708E-5</v>
      </c>
      <c r="M553" t="b">
        <f t="shared" si="76"/>
        <v>0</v>
      </c>
      <c r="N553" t="b">
        <f t="shared" si="77"/>
        <v>0</v>
      </c>
      <c r="O553" t="s">
        <v>22</v>
      </c>
      <c r="P553">
        <f t="shared" si="78"/>
        <v>0.38235294117647056</v>
      </c>
      <c r="Q553">
        <f t="shared" si="79"/>
        <v>0.25</v>
      </c>
      <c r="R553">
        <f t="shared" si="80"/>
        <v>0.32941176470588229</v>
      </c>
    </row>
    <row r="554" spans="1:18">
      <c r="A554" t="s">
        <v>586</v>
      </c>
      <c r="B554" t="s">
        <v>60</v>
      </c>
      <c r="C554" t="str">
        <f t="shared" si="72"/>
        <v>Manufacturing and operations</v>
      </c>
      <c r="D554" t="s">
        <v>20</v>
      </c>
      <c r="E554" t="str">
        <f t="shared" si="73"/>
        <v>Dataverse</v>
      </c>
      <c r="F554">
        <v>16</v>
      </c>
      <c r="G554">
        <v>34000</v>
      </c>
      <c r="H554" s="1">
        <v>39917</v>
      </c>
      <c r="I554">
        <v>2</v>
      </c>
      <c r="J554" t="s">
        <v>57</v>
      </c>
      <c r="K554">
        <f t="shared" si="74"/>
        <v>2</v>
      </c>
      <c r="L554">
        <f t="shared" si="75"/>
        <v>5.8823529411764708E-5</v>
      </c>
      <c r="M554" t="b">
        <f t="shared" si="76"/>
        <v>1</v>
      </c>
      <c r="N554" t="b">
        <f t="shared" si="77"/>
        <v>1</v>
      </c>
      <c r="O554" t="s">
        <v>22</v>
      </c>
      <c r="P554">
        <f t="shared" si="78"/>
        <v>0.38235294117647056</v>
      </c>
      <c r="Q554">
        <f t="shared" si="79"/>
        <v>0.25</v>
      </c>
      <c r="R554">
        <f t="shared" si="80"/>
        <v>0.32941176470588229</v>
      </c>
    </row>
    <row r="555" spans="1:18">
      <c r="A555" t="s">
        <v>587</v>
      </c>
      <c r="B555" t="s">
        <v>25</v>
      </c>
      <c r="C555" t="str">
        <f t="shared" si="72"/>
        <v>Sales &amp; Marketing</v>
      </c>
      <c r="D555" t="s">
        <v>20</v>
      </c>
      <c r="E555" t="str">
        <f t="shared" si="73"/>
        <v>Dataverse</v>
      </c>
      <c r="F555">
        <v>8</v>
      </c>
      <c r="G555">
        <v>17000</v>
      </c>
      <c r="H555" s="1">
        <v>42382</v>
      </c>
      <c r="I555">
        <v>2</v>
      </c>
      <c r="J555" t="s">
        <v>21</v>
      </c>
      <c r="K555">
        <f t="shared" si="74"/>
        <v>1</v>
      </c>
      <c r="L555">
        <f t="shared" si="75"/>
        <v>5.8823529411764708E-5</v>
      </c>
      <c r="M555" t="b">
        <f t="shared" si="76"/>
        <v>0</v>
      </c>
      <c r="N555" t="b">
        <f t="shared" si="77"/>
        <v>1</v>
      </c>
      <c r="O555" t="s">
        <v>22</v>
      </c>
      <c r="P555">
        <f t="shared" si="78"/>
        <v>0.38235294117647056</v>
      </c>
      <c r="Q555">
        <f t="shared" si="79"/>
        <v>0.25</v>
      </c>
      <c r="R555">
        <f t="shared" si="80"/>
        <v>0.32941176470588229</v>
      </c>
    </row>
    <row r="556" spans="1:18">
      <c r="A556" t="s">
        <v>588</v>
      </c>
      <c r="B556" t="s">
        <v>25</v>
      </c>
      <c r="C556" t="str">
        <f t="shared" si="72"/>
        <v>Sales &amp; Marketing</v>
      </c>
      <c r="D556" t="s">
        <v>20</v>
      </c>
      <c r="E556" t="str">
        <f t="shared" si="73"/>
        <v>Dataverse</v>
      </c>
      <c r="F556">
        <v>22</v>
      </c>
      <c r="G556">
        <v>17000</v>
      </c>
      <c r="H556" s="1">
        <v>38243</v>
      </c>
      <c r="I556">
        <v>2</v>
      </c>
      <c r="J556" t="s">
        <v>21</v>
      </c>
      <c r="K556">
        <f t="shared" si="74"/>
        <v>1</v>
      </c>
      <c r="L556">
        <f t="shared" si="75"/>
        <v>5.8823529411764708E-5</v>
      </c>
      <c r="M556" t="b">
        <f t="shared" si="76"/>
        <v>1</v>
      </c>
      <c r="N556" t="b">
        <f t="shared" si="77"/>
        <v>1</v>
      </c>
      <c r="O556" t="s">
        <v>22</v>
      </c>
      <c r="P556">
        <f t="shared" si="78"/>
        <v>0.38235294117647056</v>
      </c>
      <c r="Q556">
        <f t="shared" si="79"/>
        <v>0.25</v>
      </c>
      <c r="R556">
        <f t="shared" si="80"/>
        <v>0.32941176470588229</v>
      </c>
    </row>
    <row r="557" spans="1:18">
      <c r="A557" t="s">
        <v>589</v>
      </c>
      <c r="B557" t="s">
        <v>204</v>
      </c>
      <c r="C557" t="str">
        <f t="shared" si="72"/>
        <v>Administrative Services</v>
      </c>
      <c r="D557" t="s">
        <v>20</v>
      </c>
      <c r="E557" t="str">
        <f t="shared" si="73"/>
        <v>Dataverse</v>
      </c>
      <c r="F557">
        <v>23</v>
      </c>
      <c r="G557">
        <v>82000</v>
      </c>
      <c r="H557" s="1">
        <v>40884</v>
      </c>
      <c r="I557">
        <v>4</v>
      </c>
      <c r="J557" t="s">
        <v>174</v>
      </c>
      <c r="K557">
        <f t="shared" si="74"/>
        <v>3</v>
      </c>
      <c r="L557">
        <f t="shared" si="75"/>
        <v>3.6585365853658535E-5</v>
      </c>
      <c r="M557" t="b">
        <f t="shared" si="76"/>
        <v>1</v>
      </c>
      <c r="N557" t="b">
        <f t="shared" si="77"/>
        <v>1</v>
      </c>
      <c r="O557" t="s">
        <v>22</v>
      </c>
      <c r="P557">
        <f t="shared" si="78"/>
        <v>4.8780487804878002E-2</v>
      </c>
      <c r="Q557">
        <f t="shared" si="79"/>
        <v>0.75</v>
      </c>
      <c r="R557">
        <f t="shared" si="80"/>
        <v>0.32926829268292684</v>
      </c>
    </row>
    <row r="558" spans="1:18">
      <c r="A558" t="s">
        <v>590</v>
      </c>
      <c r="B558" t="s">
        <v>70</v>
      </c>
      <c r="C558" t="str">
        <f t="shared" si="72"/>
        <v>Customer Experience</v>
      </c>
      <c r="D558" t="s">
        <v>27</v>
      </c>
      <c r="E558" t="str">
        <f t="shared" si="73"/>
        <v>Technova</v>
      </c>
      <c r="F558">
        <v>8</v>
      </c>
      <c r="G558">
        <v>42000</v>
      </c>
      <c r="H558" s="1">
        <v>40473</v>
      </c>
      <c r="I558">
        <v>3</v>
      </c>
      <c r="J558" t="s">
        <v>57</v>
      </c>
      <c r="K558">
        <f t="shared" si="74"/>
        <v>2</v>
      </c>
      <c r="L558">
        <f t="shared" si="75"/>
        <v>4.761904761904762E-5</v>
      </c>
      <c r="M558" t="b">
        <f t="shared" si="76"/>
        <v>0</v>
      </c>
      <c r="N558" t="b">
        <f t="shared" si="77"/>
        <v>1</v>
      </c>
      <c r="O558" t="s">
        <v>22</v>
      </c>
      <c r="P558">
        <f t="shared" si="78"/>
        <v>0.21428571428571427</v>
      </c>
      <c r="Q558">
        <f t="shared" si="79"/>
        <v>0.5</v>
      </c>
      <c r="R558">
        <f t="shared" si="80"/>
        <v>0.32857142857142857</v>
      </c>
    </row>
    <row r="559" spans="1:18">
      <c r="A559" t="s">
        <v>591</v>
      </c>
      <c r="B559" t="s">
        <v>70</v>
      </c>
      <c r="C559" t="str">
        <f t="shared" si="72"/>
        <v>Customer Experience</v>
      </c>
      <c r="D559" t="s">
        <v>20</v>
      </c>
      <c r="E559" t="str">
        <f t="shared" si="73"/>
        <v>Dataverse</v>
      </c>
      <c r="F559">
        <v>19</v>
      </c>
      <c r="G559">
        <v>42000</v>
      </c>
      <c r="H559" s="1">
        <v>39213</v>
      </c>
      <c r="I559">
        <v>3</v>
      </c>
      <c r="J559" t="s">
        <v>57</v>
      </c>
      <c r="K559">
        <f t="shared" si="74"/>
        <v>2</v>
      </c>
      <c r="L559">
        <f t="shared" si="75"/>
        <v>4.761904761904762E-5</v>
      </c>
      <c r="M559" t="b">
        <f t="shared" si="76"/>
        <v>1</v>
      </c>
      <c r="N559" t="b">
        <f t="shared" si="77"/>
        <v>1</v>
      </c>
      <c r="O559" t="s">
        <v>22</v>
      </c>
      <c r="P559">
        <f t="shared" si="78"/>
        <v>0.21428571428571427</v>
      </c>
      <c r="Q559">
        <f t="shared" si="79"/>
        <v>0.5</v>
      </c>
      <c r="R559">
        <f t="shared" si="80"/>
        <v>0.32857142857142857</v>
      </c>
    </row>
    <row r="560" spans="1:18">
      <c r="A560" t="s">
        <v>592</v>
      </c>
      <c r="B560" t="s">
        <v>102</v>
      </c>
      <c r="C560" t="str">
        <f t="shared" si="72"/>
        <v>Finance</v>
      </c>
      <c r="D560" t="s">
        <v>20</v>
      </c>
      <c r="E560" t="str">
        <f t="shared" si="73"/>
        <v>Dataverse</v>
      </c>
      <c r="F560">
        <v>7</v>
      </c>
      <c r="G560">
        <v>42000</v>
      </c>
      <c r="H560" s="1">
        <v>45119</v>
      </c>
      <c r="I560">
        <v>3</v>
      </c>
      <c r="J560" t="s">
        <v>57</v>
      </c>
      <c r="K560">
        <f t="shared" si="74"/>
        <v>2</v>
      </c>
      <c r="L560">
        <f t="shared" si="75"/>
        <v>4.761904761904762E-5</v>
      </c>
      <c r="M560" t="b">
        <f t="shared" si="76"/>
        <v>0</v>
      </c>
      <c r="N560" t="b">
        <f t="shared" si="77"/>
        <v>1</v>
      </c>
      <c r="O560" t="s">
        <v>22</v>
      </c>
      <c r="P560">
        <f t="shared" si="78"/>
        <v>0.21428571428571427</v>
      </c>
      <c r="Q560">
        <f t="shared" si="79"/>
        <v>0.5</v>
      </c>
      <c r="R560">
        <f t="shared" si="80"/>
        <v>0.32857142857142857</v>
      </c>
    </row>
    <row r="561" spans="1:18">
      <c r="A561" t="s">
        <v>593</v>
      </c>
      <c r="B561" t="s">
        <v>224</v>
      </c>
      <c r="C561" t="str">
        <f t="shared" si="72"/>
        <v>Business Strategy</v>
      </c>
      <c r="D561" t="s">
        <v>20</v>
      </c>
      <c r="E561" t="str">
        <f t="shared" si="73"/>
        <v>Dataverse</v>
      </c>
      <c r="F561">
        <v>5</v>
      </c>
      <c r="G561">
        <v>63000</v>
      </c>
      <c r="H561" s="1">
        <v>41112</v>
      </c>
      <c r="I561">
        <v>3</v>
      </c>
      <c r="J561" t="s">
        <v>174</v>
      </c>
      <c r="K561">
        <f t="shared" si="74"/>
        <v>3</v>
      </c>
      <c r="L561">
        <f t="shared" si="75"/>
        <v>4.761904761904762E-5</v>
      </c>
      <c r="M561" t="b">
        <f t="shared" si="76"/>
        <v>0</v>
      </c>
      <c r="N561" t="b">
        <f t="shared" si="77"/>
        <v>0</v>
      </c>
      <c r="O561" t="s">
        <v>22</v>
      </c>
      <c r="P561">
        <f t="shared" si="78"/>
        <v>0.21428571428571427</v>
      </c>
      <c r="Q561">
        <f t="shared" si="79"/>
        <v>0.5</v>
      </c>
      <c r="R561">
        <f t="shared" si="80"/>
        <v>0.32857142857142857</v>
      </c>
    </row>
    <row r="562" spans="1:18">
      <c r="A562" t="s">
        <v>594</v>
      </c>
      <c r="B562" t="s">
        <v>19</v>
      </c>
      <c r="C562" t="str">
        <f t="shared" si="72"/>
        <v>Research &amp; Department</v>
      </c>
      <c r="D562" t="s">
        <v>20</v>
      </c>
      <c r="E562" t="str">
        <f t="shared" si="73"/>
        <v>Dataverse</v>
      </c>
      <c r="F562">
        <v>22</v>
      </c>
      <c r="G562">
        <v>21000</v>
      </c>
      <c r="H562" s="1">
        <v>40768</v>
      </c>
      <c r="I562">
        <v>3</v>
      </c>
      <c r="J562" t="s">
        <v>21</v>
      </c>
      <c r="K562">
        <f t="shared" si="74"/>
        <v>1</v>
      </c>
      <c r="L562">
        <f t="shared" si="75"/>
        <v>4.761904761904762E-5</v>
      </c>
      <c r="M562" t="b">
        <f t="shared" si="76"/>
        <v>1</v>
      </c>
      <c r="N562" t="b">
        <f t="shared" si="77"/>
        <v>1</v>
      </c>
      <c r="O562" t="s">
        <v>22</v>
      </c>
      <c r="P562">
        <f t="shared" si="78"/>
        <v>0.21428571428571427</v>
      </c>
      <c r="Q562">
        <f t="shared" si="79"/>
        <v>0.5</v>
      </c>
      <c r="R562">
        <f t="shared" si="80"/>
        <v>0.32857142857142857</v>
      </c>
    </row>
    <row r="563" spans="1:18">
      <c r="A563" t="s">
        <v>595</v>
      </c>
      <c r="B563" t="s">
        <v>19</v>
      </c>
      <c r="C563" t="str">
        <f t="shared" si="72"/>
        <v>Research &amp; Department</v>
      </c>
      <c r="D563" t="s">
        <v>20</v>
      </c>
      <c r="E563" t="str">
        <f t="shared" si="73"/>
        <v>Dataverse</v>
      </c>
      <c r="F563">
        <v>9</v>
      </c>
      <c r="G563">
        <v>21000</v>
      </c>
      <c r="H563" s="1">
        <v>39285</v>
      </c>
      <c r="I563">
        <v>3</v>
      </c>
      <c r="J563" t="s">
        <v>21</v>
      </c>
      <c r="K563">
        <f t="shared" si="74"/>
        <v>1</v>
      </c>
      <c r="L563">
        <f t="shared" si="75"/>
        <v>4.761904761904762E-5</v>
      </c>
      <c r="M563" t="b">
        <f t="shared" si="76"/>
        <v>0</v>
      </c>
      <c r="N563" t="b">
        <f t="shared" si="77"/>
        <v>1</v>
      </c>
      <c r="O563" t="s">
        <v>22</v>
      </c>
      <c r="P563">
        <f t="shared" si="78"/>
        <v>0.21428571428571427</v>
      </c>
      <c r="Q563">
        <f t="shared" si="79"/>
        <v>0.5</v>
      </c>
      <c r="R563">
        <f t="shared" si="80"/>
        <v>0.32857142857142857</v>
      </c>
    </row>
    <row r="564" spans="1:18">
      <c r="A564" t="s">
        <v>596</v>
      </c>
      <c r="B564" t="s">
        <v>60</v>
      </c>
      <c r="C564" t="str">
        <f t="shared" si="72"/>
        <v>Manufacturing and operations</v>
      </c>
      <c r="D564" t="s">
        <v>27</v>
      </c>
      <c r="E564" t="str">
        <f t="shared" si="73"/>
        <v>Technova</v>
      </c>
      <c r="F564">
        <v>3</v>
      </c>
      <c r="G564">
        <v>42000</v>
      </c>
      <c r="H564" s="1">
        <v>43372</v>
      </c>
      <c r="I564">
        <v>3</v>
      </c>
      <c r="J564" t="s">
        <v>57</v>
      </c>
      <c r="K564">
        <f t="shared" si="74"/>
        <v>2</v>
      </c>
      <c r="L564">
        <f t="shared" si="75"/>
        <v>4.761904761904762E-5</v>
      </c>
      <c r="M564" t="b">
        <f t="shared" si="76"/>
        <v>0</v>
      </c>
      <c r="N564" t="b">
        <f t="shared" si="77"/>
        <v>0</v>
      </c>
      <c r="O564" t="s">
        <v>22</v>
      </c>
      <c r="P564">
        <f t="shared" si="78"/>
        <v>0.21428571428571427</v>
      </c>
      <c r="Q564">
        <f t="shared" si="79"/>
        <v>0.5</v>
      </c>
      <c r="R564">
        <f t="shared" si="80"/>
        <v>0.32857142857142857</v>
      </c>
    </row>
    <row r="565" spans="1:18">
      <c r="A565" t="s">
        <v>597</v>
      </c>
      <c r="B565" t="s">
        <v>60</v>
      </c>
      <c r="C565" t="str">
        <f t="shared" si="72"/>
        <v>Manufacturing and operations</v>
      </c>
      <c r="D565" t="s">
        <v>20</v>
      </c>
      <c r="E565" t="str">
        <f t="shared" si="73"/>
        <v>Dataverse</v>
      </c>
      <c r="F565">
        <v>23</v>
      </c>
      <c r="G565">
        <v>42000</v>
      </c>
      <c r="H565" s="1">
        <v>41110</v>
      </c>
      <c r="I565">
        <v>3</v>
      </c>
      <c r="J565" t="s">
        <v>57</v>
      </c>
      <c r="K565">
        <f t="shared" si="74"/>
        <v>2</v>
      </c>
      <c r="L565">
        <f t="shared" si="75"/>
        <v>4.761904761904762E-5</v>
      </c>
      <c r="M565" t="b">
        <f t="shared" si="76"/>
        <v>1</v>
      </c>
      <c r="N565" t="b">
        <f t="shared" si="77"/>
        <v>1</v>
      </c>
      <c r="O565" t="s">
        <v>22</v>
      </c>
      <c r="P565">
        <f t="shared" si="78"/>
        <v>0.21428571428571427</v>
      </c>
      <c r="Q565">
        <f t="shared" si="79"/>
        <v>0.5</v>
      </c>
      <c r="R565">
        <f t="shared" si="80"/>
        <v>0.32857142857142857</v>
      </c>
    </row>
    <row r="566" spans="1:18">
      <c r="A566" t="s">
        <v>598</v>
      </c>
      <c r="B566" t="s">
        <v>67</v>
      </c>
      <c r="C566" t="str">
        <f t="shared" si="72"/>
        <v>Quality Assurance</v>
      </c>
      <c r="D566" t="s">
        <v>27</v>
      </c>
      <c r="E566" t="str">
        <f t="shared" si="73"/>
        <v>Technova</v>
      </c>
      <c r="F566">
        <v>2</v>
      </c>
      <c r="G566">
        <v>42000</v>
      </c>
      <c r="H566" s="1">
        <v>44607</v>
      </c>
      <c r="I566">
        <v>3</v>
      </c>
      <c r="J566" t="s">
        <v>57</v>
      </c>
      <c r="K566">
        <f t="shared" si="74"/>
        <v>2</v>
      </c>
      <c r="L566">
        <f t="shared" si="75"/>
        <v>4.761904761904762E-5</v>
      </c>
      <c r="M566" t="b">
        <f t="shared" si="76"/>
        <v>0</v>
      </c>
      <c r="N566" t="b">
        <f t="shared" si="77"/>
        <v>0</v>
      </c>
      <c r="O566" t="s">
        <v>22</v>
      </c>
      <c r="P566">
        <f t="shared" si="78"/>
        <v>0.21428571428571427</v>
      </c>
      <c r="Q566">
        <f t="shared" si="79"/>
        <v>0.5</v>
      </c>
      <c r="R566">
        <f t="shared" si="80"/>
        <v>0.32857142857142857</v>
      </c>
    </row>
    <row r="567" spans="1:18">
      <c r="A567" t="s">
        <v>599</v>
      </c>
      <c r="B567" t="s">
        <v>102</v>
      </c>
      <c r="C567" t="str">
        <f t="shared" si="72"/>
        <v>Finance</v>
      </c>
      <c r="D567" t="s">
        <v>27</v>
      </c>
      <c r="E567" t="str">
        <f t="shared" si="73"/>
        <v>Technova</v>
      </c>
      <c r="F567">
        <v>3</v>
      </c>
      <c r="G567">
        <v>43000</v>
      </c>
      <c r="H567" s="1">
        <v>41672</v>
      </c>
      <c r="I567">
        <v>3</v>
      </c>
      <c r="J567" t="s">
        <v>57</v>
      </c>
      <c r="K567">
        <f t="shared" si="74"/>
        <v>2</v>
      </c>
      <c r="L567">
        <f t="shared" si="75"/>
        <v>4.6511627906976741E-5</v>
      </c>
      <c r="M567" t="b">
        <f t="shared" si="76"/>
        <v>0</v>
      </c>
      <c r="N567" t="b">
        <f t="shared" si="77"/>
        <v>0</v>
      </c>
      <c r="O567" t="s">
        <v>22</v>
      </c>
      <c r="P567">
        <f t="shared" si="78"/>
        <v>0.1976744186046511</v>
      </c>
      <c r="Q567">
        <f t="shared" si="79"/>
        <v>0.5</v>
      </c>
      <c r="R567">
        <f t="shared" si="80"/>
        <v>0.31860465116279069</v>
      </c>
    </row>
    <row r="568" spans="1:18">
      <c r="A568" t="s">
        <v>600</v>
      </c>
      <c r="B568" t="s">
        <v>74</v>
      </c>
      <c r="C568" t="str">
        <f t="shared" si="72"/>
        <v>Human Resources</v>
      </c>
      <c r="D568" t="s">
        <v>27</v>
      </c>
      <c r="E568" t="str">
        <f t="shared" si="73"/>
        <v>Technova</v>
      </c>
      <c r="F568">
        <v>6</v>
      </c>
      <c r="G568">
        <v>43000</v>
      </c>
      <c r="H568" s="1">
        <v>41125</v>
      </c>
      <c r="I568">
        <v>3</v>
      </c>
      <c r="J568" t="s">
        <v>57</v>
      </c>
      <c r="K568">
        <f t="shared" si="74"/>
        <v>2</v>
      </c>
      <c r="L568">
        <f t="shared" si="75"/>
        <v>4.6511627906976741E-5</v>
      </c>
      <c r="M568" t="b">
        <f t="shared" si="76"/>
        <v>0</v>
      </c>
      <c r="N568" t="b">
        <f t="shared" si="77"/>
        <v>1</v>
      </c>
      <c r="O568" t="s">
        <v>22</v>
      </c>
      <c r="P568">
        <f t="shared" si="78"/>
        <v>0.1976744186046511</v>
      </c>
      <c r="Q568">
        <f t="shared" si="79"/>
        <v>0.5</v>
      </c>
      <c r="R568">
        <f t="shared" si="80"/>
        <v>0.31860465116279069</v>
      </c>
    </row>
    <row r="569" spans="1:18">
      <c r="A569" t="s">
        <v>601</v>
      </c>
      <c r="B569" t="s">
        <v>74</v>
      </c>
      <c r="C569" t="str">
        <f t="shared" si="72"/>
        <v>Human Resources</v>
      </c>
      <c r="D569" t="s">
        <v>27</v>
      </c>
      <c r="E569" t="str">
        <f t="shared" si="73"/>
        <v>Technova</v>
      </c>
      <c r="F569">
        <v>7</v>
      </c>
      <c r="G569">
        <v>43000</v>
      </c>
      <c r="H569" s="1">
        <v>44505</v>
      </c>
      <c r="I569">
        <v>3</v>
      </c>
      <c r="J569" t="s">
        <v>57</v>
      </c>
      <c r="K569">
        <f t="shared" si="74"/>
        <v>2</v>
      </c>
      <c r="L569">
        <f t="shared" si="75"/>
        <v>4.6511627906976741E-5</v>
      </c>
      <c r="M569" t="b">
        <f t="shared" si="76"/>
        <v>0</v>
      </c>
      <c r="N569" t="b">
        <f t="shared" si="77"/>
        <v>1</v>
      </c>
      <c r="O569" t="s">
        <v>22</v>
      </c>
      <c r="P569">
        <f t="shared" si="78"/>
        <v>0.1976744186046511</v>
      </c>
      <c r="Q569">
        <f t="shared" si="79"/>
        <v>0.5</v>
      </c>
      <c r="R569">
        <f t="shared" si="80"/>
        <v>0.31860465116279069</v>
      </c>
    </row>
    <row r="570" spans="1:18">
      <c r="A570" t="s">
        <v>602</v>
      </c>
      <c r="B570" t="s">
        <v>74</v>
      </c>
      <c r="C570" t="str">
        <f t="shared" si="72"/>
        <v>Human Resources</v>
      </c>
      <c r="D570" t="s">
        <v>20</v>
      </c>
      <c r="E570" t="str">
        <f t="shared" si="73"/>
        <v>Dataverse</v>
      </c>
      <c r="F570">
        <v>17</v>
      </c>
      <c r="G570">
        <v>43000</v>
      </c>
      <c r="H570" s="1">
        <v>39846</v>
      </c>
      <c r="I570">
        <v>3</v>
      </c>
      <c r="J570" t="s">
        <v>57</v>
      </c>
      <c r="K570">
        <f t="shared" si="74"/>
        <v>2</v>
      </c>
      <c r="L570">
        <f t="shared" si="75"/>
        <v>4.6511627906976741E-5</v>
      </c>
      <c r="M570" t="b">
        <f t="shared" si="76"/>
        <v>1</v>
      </c>
      <c r="N570" t="b">
        <f t="shared" si="77"/>
        <v>1</v>
      </c>
      <c r="O570" t="s">
        <v>22</v>
      </c>
      <c r="P570">
        <f t="shared" si="78"/>
        <v>0.1976744186046511</v>
      </c>
      <c r="Q570">
        <f t="shared" si="79"/>
        <v>0.5</v>
      </c>
      <c r="R570">
        <f t="shared" si="80"/>
        <v>0.31860465116279069</v>
      </c>
    </row>
    <row r="571" spans="1:18">
      <c r="A571" t="s">
        <v>603</v>
      </c>
      <c r="B571" t="s">
        <v>56</v>
      </c>
      <c r="C571" t="str">
        <f t="shared" si="72"/>
        <v>IT &amp; Systems</v>
      </c>
      <c r="D571" t="s">
        <v>20</v>
      </c>
      <c r="E571" t="str">
        <f t="shared" si="73"/>
        <v>Dataverse</v>
      </c>
      <c r="F571">
        <v>6</v>
      </c>
      <c r="G571">
        <v>43000</v>
      </c>
      <c r="H571" s="1">
        <v>43427</v>
      </c>
      <c r="I571">
        <v>3</v>
      </c>
      <c r="J571" t="s">
        <v>57</v>
      </c>
      <c r="K571">
        <f t="shared" si="74"/>
        <v>2</v>
      </c>
      <c r="L571">
        <f t="shared" si="75"/>
        <v>4.6511627906976741E-5</v>
      </c>
      <c r="M571" t="b">
        <f t="shared" si="76"/>
        <v>0</v>
      </c>
      <c r="N571" t="b">
        <f t="shared" si="77"/>
        <v>1</v>
      </c>
      <c r="O571" t="s">
        <v>22</v>
      </c>
      <c r="P571">
        <f t="shared" si="78"/>
        <v>0.1976744186046511</v>
      </c>
      <c r="Q571">
        <f t="shared" si="79"/>
        <v>0.5</v>
      </c>
      <c r="R571">
        <f t="shared" si="80"/>
        <v>0.31860465116279069</v>
      </c>
    </row>
    <row r="572" spans="1:18">
      <c r="A572" t="s">
        <v>604</v>
      </c>
      <c r="B572" t="s">
        <v>56</v>
      </c>
      <c r="C572" t="str">
        <f t="shared" si="72"/>
        <v>IT &amp; Systems</v>
      </c>
      <c r="D572" t="s">
        <v>27</v>
      </c>
      <c r="E572" t="str">
        <f t="shared" si="73"/>
        <v>Technova</v>
      </c>
      <c r="F572">
        <v>20</v>
      </c>
      <c r="G572">
        <v>43000</v>
      </c>
      <c r="H572" s="1">
        <v>40098</v>
      </c>
      <c r="I572">
        <v>3</v>
      </c>
      <c r="J572" t="s">
        <v>57</v>
      </c>
      <c r="K572">
        <f t="shared" si="74"/>
        <v>2</v>
      </c>
      <c r="L572">
        <f t="shared" si="75"/>
        <v>4.6511627906976741E-5</v>
      </c>
      <c r="M572" t="b">
        <f t="shared" si="76"/>
        <v>1</v>
      </c>
      <c r="N572" t="b">
        <f t="shared" si="77"/>
        <v>1</v>
      </c>
      <c r="O572" t="s">
        <v>22</v>
      </c>
      <c r="P572">
        <f t="shared" si="78"/>
        <v>0.1976744186046511</v>
      </c>
      <c r="Q572">
        <f t="shared" si="79"/>
        <v>0.5</v>
      </c>
      <c r="R572">
        <f t="shared" si="80"/>
        <v>0.31860465116279069</v>
      </c>
    </row>
    <row r="573" spans="1:18">
      <c r="A573" t="s">
        <v>605</v>
      </c>
      <c r="B573" t="s">
        <v>56</v>
      </c>
      <c r="C573" t="str">
        <f t="shared" si="72"/>
        <v>IT &amp; Systems</v>
      </c>
      <c r="D573" t="s">
        <v>20</v>
      </c>
      <c r="E573" t="str">
        <f t="shared" si="73"/>
        <v>Dataverse</v>
      </c>
      <c r="F573">
        <v>21</v>
      </c>
      <c r="G573">
        <v>43000</v>
      </c>
      <c r="H573" s="1">
        <v>43715</v>
      </c>
      <c r="I573">
        <v>3</v>
      </c>
      <c r="J573" t="s">
        <v>57</v>
      </c>
      <c r="K573">
        <f t="shared" si="74"/>
        <v>2</v>
      </c>
      <c r="L573">
        <f t="shared" si="75"/>
        <v>4.6511627906976741E-5</v>
      </c>
      <c r="M573" t="b">
        <f t="shared" si="76"/>
        <v>1</v>
      </c>
      <c r="N573" t="b">
        <f t="shared" si="77"/>
        <v>1</v>
      </c>
      <c r="O573" t="s">
        <v>22</v>
      </c>
      <c r="P573">
        <f t="shared" si="78"/>
        <v>0.1976744186046511</v>
      </c>
      <c r="Q573">
        <f t="shared" si="79"/>
        <v>0.5</v>
      </c>
      <c r="R573">
        <f t="shared" si="80"/>
        <v>0.31860465116279069</v>
      </c>
    </row>
    <row r="574" spans="1:18">
      <c r="A574" t="s">
        <v>606</v>
      </c>
      <c r="B574" t="s">
        <v>60</v>
      </c>
      <c r="C574" t="str">
        <f t="shared" si="72"/>
        <v>Manufacturing and operations</v>
      </c>
      <c r="D574" t="s">
        <v>20</v>
      </c>
      <c r="E574" t="str">
        <f t="shared" si="73"/>
        <v>Dataverse</v>
      </c>
      <c r="F574">
        <v>22</v>
      </c>
      <c r="G574">
        <v>43000</v>
      </c>
      <c r="H574" s="1">
        <v>44757</v>
      </c>
      <c r="I574">
        <v>3</v>
      </c>
      <c r="J574" t="s">
        <v>57</v>
      </c>
      <c r="K574">
        <f t="shared" si="74"/>
        <v>2</v>
      </c>
      <c r="L574">
        <f t="shared" si="75"/>
        <v>4.6511627906976741E-5</v>
      </c>
      <c r="M574" t="b">
        <f t="shared" si="76"/>
        <v>1</v>
      </c>
      <c r="N574" t="b">
        <f t="shared" si="77"/>
        <v>1</v>
      </c>
      <c r="O574" t="s">
        <v>22</v>
      </c>
      <c r="P574">
        <f t="shared" si="78"/>
        <v>0.1976744186046511</v>
      </c>
      <c r="Q574">
        <f t="shared" si="79"/>
        <v>0.5</v>
      </c>
      <c r="R574">
        <f t="shared" si="80"/>
        <v>0.31860465116279069</v>
      </c>
    </row>
    <row r="575" spans="1:18">
      <c r="A575" t="s">
        <v>607</v>
      </c>
      <c r="B575" t="s">
        <v>67</v>
      </c>
      <c r="C575" t="str">
        <f t="shared" si="72"/>
        <v>Quality Assurance</v>
      </c>
      <c r="D575" t="s">
        <v>20</v>
      </c>
      <c r="E575" t="str">
        <f t="shared" si="73"/>
        <v>Dataverse</v>
      </c>
      <c r="F575">
        <v>17</v>
      </c>
      <c r="G575">
        <v>43000</v>
      </c>
      <c r="H575" s="1">
        <v>38293</v>
      </c>
      <c r="I575">
        <v>3</v>
      </c>
      <c r="J575" t="s">
        <v>57</v>
      </c>
      <c r="K575">
        <f t="shared" si="74"/>
        <v>2</v>
      </c>
      <c r="L575">
        <f t="shared" si="75"/>
        <v>4.6511627906976741E-5</v>
      </c>
      <c r="M575" t="b">
        <f t="shared" si="76"/>
        <v>1</v>
      </c>
      <c r="N575" t="b">
        <f t="shared" si="77"/>
        <v>1</v>
      </c>
      <c r="O575" t="s">
        <v>22</v>
      </c>
      <c r="P575">
        <f t="shared" si="78"/>
        <v>0.1976744186046511</v>
      </c>
      <c r="Q575">
        <f t="shared" si="79"/>
        <v>0.5</v>
      </c>
      <c r="R575">
        <f t="shared" si="80"/>
        <v>0.31860465116279069</v>
      </c>
    </row>
    <row r="576" spans="1:18">
      <c r="A576" t="s">
        <v>608</v>
      </c>
      <c r="B576" t="s">
        <v>70</v>
      </c>
      <c r="C576" t="str">
        <f t="shared" si="72"/>
        <v>Customer Experience</v>
      </c>
      <c r="D576" t="s">
        <v>27</v>
      </c>
      <c r="E576" t="str">
        <f t="shared" si="73"/>
        <v>Technova</v>
      </c>
      <c r="F576">
        <v>6</v>
      </c>
      <c r="G576">
        <v>85000</v>
      </c>
      <c r="H576" s="1">
        <v>39448</v>
      </c>
      <c r="I576">
        <v>4</v>
      </c>
      <c r="J576" t="s">
        <v>174</v>
      </c>
      <c r="K576">
        <f t="shared" si="74"/>
        <v>3</v>
      </c>
      <c r="L576">
        <f t="shared" si="75"/>
        <v>3.529411764705882E-5</v>
      </c>
      <c r="M576" t="b">
        <f t="shared" si="76"/>
        <v>0</v>
      </c>
      <c r="N576" t="b">
        <f t="shared" si="77"/>
        <v>1</v>
      </c>
      <c r="O576" t="s">
        <v>22</v>
      </c>
      <c r="P576">
        <f t="shared" si="78"/>
        <v>2.941176470588228E-2</v>
      </c>
      <c r="Q576">
        <f t="shared" si="79"/>
        <v>0.75</v>
      </c>
      <c r="R576">
        <f t="shared" si="80"/>
        <v>0.31764705882352939</v>
      </c>
    </row>
    <row r="577" spans="1:18">
      <c r="A577" t="s">
        <v>609</v>
      </c>
      <c r="B577" t="s">
        <v>70</v>
      </c>
      <c r="C577" t="str">
        <f t="shared" si="72"/>
        <v>Customer Experience</v>
      </c>
      <c r="D577" t="s">
        <v>20</v>
      </c>
      <c r="E577" t="str">
        <f t="shared" si="73"/>
        <v>Dataverse</v>
      </c>
      <c r="F577">
        <v>2</v>
      </c>
      <c r="G577">
        <v>85000</v>
      </c>
      <c r="H577" s="1">
        <v>42625</v>
      </c>
      <c r="I577">
        <v>4</v>
      </c>
      <c r="J577" t="s">
        <v>174</v>
      </c>
      <c r="K577">
        <f t="shared" si="74"/>
        <v>3</v>
      </c>
      <c r="L577">
        <f t="shared" si="75"/>
        <v>3.529411764705882E-5</v>
      </c>
      <c r="M577" t="b">
        <f t="shared" si="76"/>
        <v>0</v>
      </c>
      <c r="N577" t="b">
        <f t="shared" si="77"/>
        <v>0</v>
      </c>
      <c r="O577" t="s">
        <v>22</v>
      </c>
      <c r="P577">
        <f t="shared" si="78"/>
        <v>2.941176470588228E-2</v>
      </c>
      <c r="Q577">
        <f t="shared" si="79"/>
        <v>0.75</v>
      </c>
      <c r="R577">
        <f t="shared" si="80"/>
        <v>0.31764705882352939</v>
      </c>
    </row>
    <row r="578" spans="1:18">
      <c r="A578" t="s">
        <v>610</v>
      </c>
      <c r="B578" t="s">
        <v>224</v>
      </c>
      <c r="C578" t="str">
        <f t="shared" ref="C578:C641" si="81">TRIM(B578)</f>
        <v>Business Strategy</v>
      </c>
      <c r="D578" t="s">
        <v>20</v>
      </c>
      <c r="E578" t="str">
        <f t="shared" ref="E578:E641" si="82">TRIM(D578)</f>
        <v>Dataverse</v>
      </c>
      <c r="F578">
        <v>6</v>
      </c>
      <c r="G578">
        <v>65000</v>
      </c>
      <c r="H578" s="1">
        <v>38976</v>
      </c>
      <c r="I578">
        <v>3</v>
      </c>
      <c r="J578" t="s">
        <v>174</v>
      </c>
      <c r="K578">
        <f t="shared" ref="K578:K641" si="83">IF(J578="A", 3, IF(J578="B", 2, 1))</f>
        <v>3</v>
      </c>
      <c r="L578">
        <f t="shared" ref="L578:L641" si="84">K578/G578</f>
        <v>4.6153846153846151E-5</v>
      </c>
      <c r="M578" t="b">
        <f t="shared" ref="M578:M641" si="85">IF(F578&gt;15, TRUE, FALSE)</f>
        <v>0</v>
      </c>
      <c r="N578" t="b">
        <f t="shared" ref="N578:N641" si="86">IF(F578&gt;5, TRUE, FALSE)</f>
        <v>1</v>
      </c>
      <c r="O578" t="s">
        <v>22</v>
      </c>
      <c r="P578">
        <f t="shared" ref="P578:P641" si="87">(L578-MIN(L:L))/(MAX(L:L)-MIN(L:L))</f>
        <v>0.19230769230769224</v>
      </c>
      <c r="Q578">
        <f t="shared" ref="Q578:Q641" si="88">(I578-1)/4</f>
        <v>0.5</v>
      </c>
      <c r="R578">
        <f t="shared" ref="R578:R641" si="89">(0.6*P578)+(0.4*Q578)</f>
        <v>0.31538461538461537</v>
      </c>
    </row>
    <row r="579" spans="1:18">
      <c r="A579" t="s">
        <v>611</v>
      </c>
      <c r="B579" t="s">
        <v>70</v>
      </c>
      <c r="C579" t="str">
        <f t="shared" si="81"/>
        <v>Customer Experience</v>
      </c>
      <c r="D579" t="s">
        <v>20</v>
      </c>
      <c r="E579" t="str">
        <f t="shared" si="82"/>
        <v>Dataverse</v>
      </c>
      <c r="F579">
        <v>23</v>
      </c>
      <c r="G579">
        <v>35000</v>
      </c>
      <c r="H579" s="1">
        <v>44206</v>
      </c>
      <c r="I579">
        <v>2</v>
      </c>
      <c r="J579" t="s">
        <v>57</v>
      </c>
      <c r="K579">
        <f t="shared" si="83"/>
        <v>2</v>
      </c>
      <c r="L579">
        <f t="shared" si="84"/>
        <v>5.7142857142857142E-5</v>
      </c>
      <c r="M579" t="b">
        <f t="shared" si="85"/>
        <v>1</v>
      </c>
      <c r="N579" t="b">
        <f t="shared" si="86"/>
        <v>1</v>
      </c>
      <c r="O579" t="s">
        <v>22</v>
      </c>
      <c r="P579">
        <f t="shared" si="87"/>
        <v>0.3571428571428571</v>
      </c>
      <c r="Q579">
        <f t="shared" si="88"/>
        <v>0.25</v>
      </c>
      <c r="R579">
        <f t="shared" si="89"/>
        <v>0.31428571428571428</v>
      </c>
    </row>
    <row r="580" spans="1:18">
      <c r="A580" t="s">
        <v>612</v>
      </c>
      <c r="B580" t="s">
        <v>102</v>
      </c>
      <c r="C580" t="str">
        <f t="shared" si="81"/>
        <v>Finance</v>
      </c>
      <c r="D580" t="s">
        <v>27</v>
      </c>
      <c r="E580" t="str">
        <f t="shared" si="82"/>
        <v>Technova</v>
      </c>
      <c r="F580">
        <v>20</v>
      </c>
      <c r="G580">
        <v>35000</v>
      </c>
      <c r="H580" s="1">
        <v>44919</v>
      </c>
      <c r="I580">
        <v>2</v>
      </c>
      <c r="J580" t="s">
        <v>57</v>
      </c>
      <c r="K580">
        <f t="shared" si="83"/>
        <v>2</v>
      </c>
      <c r="L580">
        <f t="shared" si="84"/>
        <v>5.7142857142857142E-5</v>
      </c>
      <c r="M580" t="b">
        <f t="shared" si="85"/>
        <v>1</v>
      </c>
      <c r="N580" t="b">
        <f t="shared" si="86"/>
        <v>1</v>
      </c>
      <c r="O580" t="s">
        <v>22</v>
      </c>
      <c r="P580">
        <f t="shared" si="87"/>
        <v>0.3571428571428571</v>
      </c>
      <c r="Q580">
        <f t="shared" si="88"/>
        <v>0.25</v>
      </c>
      <c r="R580">
        <f t="shared" si="89"/>
        <v>0.31428571428571428</v>
      </c>
    </row>
    <row r="581" spans="1:18">
      <c r="A581" t="s">
        <v>613</v>
      </c>
      <c r="B581" t="s">
        <v>74</v>
      </c>
      <c r="C581" t="str">
        <f t="shared" si="81"/>
        <v>Human Resources</v>
      </c>
      <c r="D581" t="s">
        <v>20</v>
      </c>
      <c r="E581" t="str">
        <f t="shared" si="82"/>
        <v>Dataverse</v>
      </c>
      <c r="F581">
        <v>8</v>
      </c>
      <c r="G581">
        <v>35000</v>
      </c>
      <c r="H581" s="1">
        <v>44534</v>
      </c>
      <c r="I581">
        <v>2</v>
      </c>
      <c r="J581" t="s">
        <v>57</v>
      </c>
      <c r="K581">
        <f t="shared" si="83"/>
        <v>2</v>
      </c>
      <c r="L581">
        <f t="shared" si="84"/>
        <v>5.7142857142857142E-5</v>
      </c>
      <c r="M581" t="b">
        <f t="shared" si="85"/>
        <v>0</v>
      </c>
      <c r="N581" t="b">
        <f t="shared" si="86"/>
        <v>1</v>
      </c>
      <c r="O581" t="s">
        <v>22</v>
      </c>
      <c r="P581">
        <f t="shared" si="87"/>
        <v>0.3571428571428571</v>
      </c>
      <c r="Q581">
        <f t="shared" si="88"/>
        <v>0.25</v>
      </c>
      <c r="R581">
        <f t="shared" si="89"/>
        <v>0.31428571428571428</v>
      </c>
    </row>
    <row r="582" spans="1:18">
      <c r="A582" t="s">
        <v>614</v>
      </c>
      <c r="B582" t="s">
        <v>56</v>
      </c>
      <c r="C582" t="str">
        <f t="shared" si="81"/>
        <v>IT &amp; Systems</v>
      </c>
      <c r="D582" t="s">
        <v>27</v>
      </c>
      <c r="E582" t="str">
        <f t="shared" si="82"/>
        <v>Technova</v>
      </c>
      <c r="F582">
        <v>25</v>
      </c>
      <c r="G582">
        <v>35000</v>
      </c>
      <c r="H582" s="1">
        <v>38191</v>
      </c>
      <c r="I582">
        <v>2</v>
      </c>
      <c r="J582" t="s">
        <v>57</v>
      </c>
      <c r="K582">
        <f t="shared" si="83"/>
        <v>2</v>
      </c>
      <c r="L582">
        <f t="shared" si="84"/>
        <v>5.7142857142857142E-5</v>
      </c>
      <c r="M582" t="b">
        <f t="shared" si="85"/>
        <v>1</v>
      </c>
      <c r="N582" t="b">
        <f t="shared" si="86"/>
        <v>1</v>
      </c>
      <c r="O582" t="s">
        <v>22</v>
      </c>
      <c r="P582">
        <f t="shared" si="87"/>
        <v>0.3571428571428571</v>
      </c>
      <c r="Q582">
        <f t="shared" si="88"/>
        <v>0.25</v>
      </c>
      <c r="R582">
        <f t="shared" si="89"/>
        <v>0.31428571428571428</v>
      </c>
    </row>
    <row r="583" spans="1:18">
      <c r="A583" t="s">
        <v>615</v>
      </c>
      <c r="B583" t="s">
        <v>60</v>
      </c>
      <c r="C583" t="str">
        <f t="shared" si="81"/>
        <v>Manufacturing and operations</v>
      </c>
      <c r="D583" t="s">
        <v>20</v>
      </c>
      <c r="E583" t="str">
        <f t="shared" si="82"/>
        <v>Dataverse</v>
      </c>
      <c r="F583">
        <v>5</v>
      </c>
      <c r="G583">
        <v>35000</v>
      </c>
      <c r="H583" s="1">
        <v>43252</v>
      </c>
      <c r="I583">
        <v>2</v>
      </c>
      <c r="J583" t="s">
        <v>57</v>
      </c>
      <c r="K583">
        <f t="shared" si="83"/>
        <v>2</v>
      </c>
      <c r="L583">
        <f t="shared" si="84"/>
        <v>5.7142857142857142E-5</v>
      </c>
      <c r="M583" t="b">
        <f t="shared" si="85"/>
        <v>0</v>
      </c>
      <c r="N583" t="b">
        <f t="shared" si="86"/>
        <v>0</v>
      </c>
      <c r="O583" t="s">
        <v>22</v>
      </c>
      <c r="P583">
        <f t="shared" si="87"/>
        <v>0.3571428571428571</v>
      </c>
      <c r="Q583">
        <f t="shared" si="88"/>
        <v>0.25</v>
      </c>
      <c r="R583">
        <f t="shared" si="89"/>
        <v>0.31428571428571428</v>
      </c>
    </row>
    <row r="584" spans="1:18">
      <c r="A584" t="s">
        <v>616</v>
      </c>
      <c r="B584" t="s">
        <v>60</v>
      </c>
      <c r="C584" t="str">
        <f t="shared" si="81"/>
        <v>Manufacturing and operations</v>
      </c>
      <c r="D584" t="s">
        <v>27</v>
      </c>
      <c r="E584" t="str">
        <f t="shared" si="82"/>
        <v>Technova</v>
      </c>
      <c r="F584">
        <v>10</v>
      </c>
      <c r="G584">
        <v>35000</v>
      </c>
      <c r="H584" s="1">
        <v>38294</v>
      </c>
      <c r="I584">
        <v>2</v>
      </c>
      <c r="J584" t="s">
        <v>57</v>
      </c>
      <c r="K584">
        <f t="shared" si="83"/>
        <v>2</v>
      </c>
      <c r="L584">
        <f t="shared" si="84"/>
        <v>5.7142857142857142E-5</v>
      </c>
      <c r="M584" t="b">
        <f t="shared" si="85"/>
        <v>0</v>
      </c>
      <c r="N584" t="b">
        <f t="shared" si="86"/>
        <v>1</v>
      </c>
      <c r="O584" t="s">
        <v>22</v>
      </c>
      <c r="P584">
        <f t="shared" si="87"/>
        <v>0.3571428571428571</v>
      </c>
      <c r="Q584">
        <f t="shared" si="88"/>
        <v>0.25</v>
      </c>
      <c r="R584">
        <f t="shared" si="89"/>
        <v>0.31428571428571428</v>
      </c>
    </row>
    <row r="585" spans="1:18">
      <c r="A585" t="s">
        <v>617</v>
      </c>
      <c r="B585" t="s">
        <v>60</v>
      </c>
      <c r="C585" t="str">
        <f t="shared" si="81"/>
        <v>Manufacturing and operations</v>
      </c>
      <c r="D585" t="s">
        <v>20</v>
      </c>
      <c r="E585" t="str">
        <f t="shared" si="82"/>
        <v>Dataverse</v>
      </c>
      <c r="F585">
        <v>4</v>
      </c>
      <c r="G585">
        <v>35000</v>
      </c>
      <c r="H585" s="1">
        <v>43376</v>
      </c>
      <c r="I585">
        <v>2</v>
      </c>
      <c r="J585" t="s">
        <v>57</v>
      </c>
      <c r="K585">
        <f t="shared" si="83"/>
        <v>2</v>
      </c>
      <c r="L585">
        <f t="shared" si="84"/>
        <v>5.7142857142857142E-5</v>
      </c>
      <c r="M585" t="b">
        <f t="shared" si="85"/>
        <v>0</v>
      </c>
      <c r="N585" t="b">
        <f t="shared" si="86"/>
        <v>0</v>
      </c>
      <c r="O585" t="s">
        <v>22</v>
      </c>
      <c r="P585">
        <f t="shared" si="87"/>
        <v>0.3571428571428571</v>
      </c>
      <c r="Q585">
        <f t="shared" si="88"/>
        <v>0.25</v>
      </c>
      <c r="R585">
        <f t="shared" si="89"/>
        <v>0.31428571428571428</v>
      </c>
    </row>
    <row r="586" spans="1:18">
      <c r="A586" t="s">
        <v>618</v>
      </c>
      <c r="B586" t="s">
        <v>19</v>
      </c>
      <c r="C586" t="str">
        <f t="shared" si="81"/>
        <v>Research &amp; Department</v>
      </c>
      <c r="D586" t="s">
        <v>20</v>
      </c>
      <c r="E586" t="str">
        <f t="shared" si="82"/>
        <v>Dataverse</v>
      </c>
      <c r="F586">
        <v>23</v>
      </c>
      <c r="G586">
        <v>29000</v>
      </c>
      <c r="H586" s="1">
        <v>41806</v>
      </c>
      <c r="I586">
        <v>4</v>
      </c>
      <c r="J586" t="s">
        <v>21</v>
      </c>
      <c r="K586">
        <f t="shared" si="83"/>
        <v>1</v>
      </c>
      <c r="L586">
        <f t="shared" si="84"/>
        <v>3.4482758620689657E-5</v>
      </c>
      <c r="M586" t="b">
        <f t="shared" si="85"/>
        <v>1</v>
      </c>
      <c r="N586" t="b">
        <f t="shared" si="86"/>
        <v>1</v>
      </c>
      <c r="O586" t="s">
        <v>22</v>
      </c>
      <c r="P586">
        <f t="shared" si="87"/>
        <v>1.7241379310344824E-2</v>
      </c>
      <c r="Q586">
        <f t="shared" si="88"/>
        <v>0.75</v>
      </c>
      <c r="R586">
        <f t="shared" si="89"/>
        <v>0.31034482758620696</v>
      </c>
    </row>
    <row r="587" spans="1:18">
      <c r="A587" t="s">
        <v>619</v>
      </c>
      <c r="B587" t="s">
        <v>204</v>
      </c>
      <c r="C587" t="str">
        <f t="shared" si="81"/>
        <v>Administrative Services</v>
      </c>
      <c r="D587" t="s">
        <v>27</v>
      </c>
      <c r="E587" t="str">
        <f t="shared" si="82"/>
        <v>Technova</v>
      </c>
      <c r="F587">
        <v>17</v>
      </c>
      <c r="G587">
        <v>87000</v>
      </c>
      <c r="H587" s="1">
        <v>42430</v>
      </c>
      <c r="I587">
        <v>4</v>
      </c>
      <c r="J587" t="s">
        <v>174</v>
      </c>
      <c r="K587">
        <f t="shared" si="83"/>
        <v>3</v>
      </c>
      <c r="L587">
        <f t="shared" si="84"/>
        <v>3.4482758620689657E-5</v>
      </c>
      <c r="M587" t="b">
        <f t="shared" si="85"/>
        <v>1</v>
      </c>
      <c r="N587" t="b">
        <f t="shared" si="86"/>
        <v>1</v>
      </c>
      <c r="O587" t="s">
        <v>22</v>
      </c>
      <c r="P587">
        <f t="shared" si="87"/>
        <v>1.7241379310344824E-2</v>
      </c>
      <c r="Q587">
        <f t="shared" si="88"/>
        <v>0.75</v>
      </c>
      <c r="R587">
        <f t="shared" si="89"/>
        <v>0.31034482758620696</v>
      </c>
    </row>
    <row r="588" spans="1:18">
      <c r="A588" t="s">
        <v>620</v>
      </c>
      <c r="B588" t="s">
        <v>19</v>
      </c>
      <c r="C588" t="str">
        <f t="shared" si="81"/>
        <v>Research &amp; Department</v>
      </c>
      <c r="D588" t="s">
        <v>27</v>
      </c>
      <c r="E588" t="str">
        <f t="shared" si="82"/>
        <v>Technova</v>
      </c>
      <c r="F588">
        <v>20</v>
      </c>
      <c r="G588">
        <v>29000</v>
      </c>
      <c r="H588" s="1">
        <v>42857</v>
      </c>
      <c r="I588">
        <v>4</v>
      </c>
      <c r="J588" t="s">
        <v>21</v>
      </c>
      <c r="K588">
        <f t="shared" si="83"/>
        <v>1</v>
      </c>
      <c r="L588">
        <f t="shared" si="84"/>
        <v>3.4482758620689657E-5</v>
      </c>
      <c r="M588" t="b">
        <f t="shared" si="85"/>
        <v>1</v>
      </c>
      <c r="N588" t="b">
        <f t="shared" si="86"/>
        <v>1</v>
      </c>
      <c r="O588" t="s">
        <v>22</v>
      </c>
      <c r="P588">
        <f t="shared" si="87"/>
        <v>1.7241379310344824E-2</v>
      </c>
      <c r="Q588">
        <f t="shared" si="88"/>
        <v>0.75</v>
      </c>
      <c r="R588">
        <f t="shared" si="89"/>
        <v>0.31034482758620696</v>
      </c>
    </row>
    <row r="589" spans="1:18">
      <c r="A589" t="s">
        <v>621</v>
      </c>
      <c r="B589" t="s">
        <v>19</v>
      </c>
      <c r="C589" t="str">
        <f t="shared" si="81"/>
        <v>Research &amp; Department</v>
      </c>
      <c r="D589" t="s">
        <v>27</v>
      </c>
      <c r="E589" t="str">
        <f t="shared" si="82"/>
        <v>Technova</v>
      </c>
      <c r="F589">
        <v>17</v>
      </c>
      <c r="G589">
        <v>29000</v>
      </c>
      <c r="H589" s="1">
        <v>44585</v>
      </c>
      <c r="I589">
        <v>4</v>
      </c>
      <c r="J589" t="s">
        <v>21</v>
      </c>
      <c r="K589">
        <f t="shared" si="83"/>
        <v>1</v>
      </c>
      <c r="L589">
        <f t="shared" si="84"/>
        <v>3.4482758620689657E-5</v>
      </c>
      <c r="M589" t="b">
        <f t="shared" si="85"/>
        <v>1</v>
      </c>
      <c r="N589" t="b">
        <f t="shared" si="86"/>
        <v>1</v>
      </c>
      <c r="O589" t="s">
        <v>22</v>
      </c>
      <c r="P589">
        <f t="shared" si="87"/>
        <v>1.7241379310344824E-2</v>
      </c>
      <c r="Q589">
        <f t="shared" si="88"/>
        <v>0.75</v>
      </c>
      <c r="R589">
        <f t="shared" si="89"/>
        <v>0.31034482758620696</v>
      </c>
    </row>
    <row r="590" spans="1:18">
      <c r="A590" t="s">
        <v>622</v>
      </c>
      <c r="B590" t="s">
        <v>70</v>
      </c>
      <c r="C590" t="str">
        <f t="shared" si="81"/>
        <v>Customer Experience</v>
      </c>
      <c r="D590" t="s">
        <v>20</v>
      </c>
      <c r="E590" t="str">
        <f t="shared" si="82"/>
        <v>Dataverse</v>
      </c>
      <c r="F590">
        <v>8</v>
      </c>
      <c r="G590">
        <v>87000</v>
      </c>
      <c r="H590" s="1">
        <v>40947</v>
      </c>
      <c r="I590">
        <v>4</v>
      </c>
      <c r="J590" t="s">
        <v>174</v>
      </c>
      <c r="K590">
        <f t="shared" si="83"/>
        <v>3</v>
      </c>
      <c r="L590">
        <f t="shared" si="84"/>
        <v>3.4482758620689657E-5</v>
      </c>
      <c r="M590" t="b">
        <f t="shared" si="85"/>
        <v>0</v>
      </c>
      <c r="N590" t="b">
        <f t="shared" si="86"/>
        <v>1</v>
      </c>
      <c r="O590" t="s">
        <v>22</v>
      </c>
      <c r="P590">
        <f t="shared" si="87"/>
        <v>1.7241379310344824E-2</v>
      </c>
      <c r="Q590">
        <f t="shared" si="88"/>
        <v>0.75</v>
      </c>
      <c r="R590">
        <f t="shared" si="89"/>
        <v>0.31034482758620696</v>
      </c>
    </row>
    <row r="591" spans="1:18">
      <c r="A591" t="s">
        <v>623</v>
      </c>
      <c r="B591" t="s">
        <v>25</v>
      </c>
      <c r="C591" t="str">
        <f t="shared" si="81"/>
        <v>Sales &amp; Marketing</v>
      </c>
      <c r="D591" t="s">
        <v>20</v>
      </c>
      <c r="E591" t="str">
        <f t="shared" si="82"/>
        <v>Dataverse</v>
      </c>
      <c r="F591">
        <v>9</v>
      </c>
      <c r="G591">
        <v>29000</v>
      </c>
      <c r="H591" s="1">
        <v>38206</v>
      </c>
      <c r="I591">
        <v>4</v>
      </c>
      <c r="J591" t="s">
        <v>21</v>
      </c>
      <c r="K591">
        <f t="shared" si="83"/>
        <v>1</v>
      </c>
      <c r="L591">
        <f t="shared" si="84"/>
        <v>3.4482758620689657E-5</v>
      </c>
      <c r="M591" t="b">
        <f t="shared" si="85"/>
        <v>0</v>
      </c>
      <c r="N591" t="b">
        <f t="shared" si="86"/>
        <v>1</v>
      </c>
      <c r="O591" t="s">
        <v>22</v>
      </c>
      <c r="P591">
        <f t="shared" si="87"/>
        <v>1.7241379310344824E-2</v>
      </c>
      <c r="Q591">
        <f t="shared" si="88"/>
        <v>0.75</v>
      </c>
      <c r="R591">
        <f t="shared" si="89"/>
        <v>0.31034482758620696</v>
      </c>
    </row>
    <row r="592" spans="1:18">
      <c r="A592" t="s">
        <v>624</v>
      </c>
      <c r="B592" t="s">
        <v>25</v>
      </c>
      <c r="C592" t="str">
        <f t="shared" si="81"/>
        <v>Sales &amp; Marketing</v>
      </c>
      <c r="D592" t="s">
        <v>20</v>
      </c>
      <c r="E592" t="str">
        <f t="shared" si="82"/>
        <v>Dataverse</v>
      </c>
      <c r="F592">
        <v>19</v>
      </c>
      <c r="G592">
        <v>29000</v>
      </c>
      <c r="H592" s="1">
        <v>41901</v>
      </c>
      <c r="I592">
        <v>4</v>
      </c>
      <c r="J592" t="s">
        <v>21</v>
      </c>
      <c r="K592">
        <f t="shared" si="83"/>
        <v>1</v>
      </c>
      <c r="L592">
        <f t="shared" si="84"/>
        <v>3.4482758620689657E-5</v>
      </c>
      <c r="M592" t="b">
        <f t="shared" si="85"/>
        <v>1</v>
      </c>
      <c r="N592" t="b">
        <f t="shared" si="86"/>
        <v>1</v>
      </c>
      <c r="O592" t="s">
        <v>22</v>
      </c>
      <c r="P592">
        <f t="shared" si="87"/>
        <v>1.7241379310344824E-2</v>
      </c>
      <c r="Q592">
        <f t="shared" si="88"/>
        <v>0.75</v>
      </c>
      <c r="R592">
        <f t="shared" si="89"/>
        <v>0.31034482758620696</v>
      </c>
    </row>
    <row r="593" spans="1:18">
      <c r="A593" t="s">
        <v>625</v>
      </c>
      <c r="B593" t="s">
        <v>204</v>
      </c>
      <c r="C593" t="str">
        <f t="shared" si="81"/>
        <v>Administrative Services</v>
      </c>
      <c r="D593" t="s">
        <v>27</v>
      </c>
      <c r="E593" t="str">
        <f t="shared" si="82"/>
        <v>Technova</v>
      </c>
      <c r="F593">
        <v>13</v>
      </c>
      <c r="G593">
        <v>66000</v>
      </c>
      <c r="H593" s="1">
        <v>41024</v>
      </c>
      <c r="I593">
        <v>3</v>
      </c>
      <c r="J593" t="s">
        <v>174</v>
      </c>
      <c r="K593">
        <f t="shared" si="83"/>
        <v>3</v>
      </c>
      <c r="L593">
        <f t="shared" si="84"/>
        <v>4.5454545454545452E-5</v>
      </c>
      <c r="M593" t="b">
        <f t="shared" si="85"/>
        <v>0</v>
      </c>
      <c r="N593" t="b">
        <f t="shared" si="86"/>
        <v>1</v>
      </c>
      <c r="O593" t="s">
        <v>22</v>
      </c>
      <c r="P593">
        <f t="shared" si="87"/>
        <v>0.18181818181818174</v>
      </c>
      <c r="Q593">
        <f t="shared" si="88"/>
        <v>0.5</v>
      </c>
      <c r="R593">
        <f t="shared" si="89"/>
        <v>0.30909090909090908</v>
      </c>
    </row>
    <row r="594" spans="1:18">
      <c r="A594" t="s">
        <v>626</v>
      </c>
      <c r="B594" t="s">
        <v>102</v>
      </c>
      <c r="C594" t="str">
        <f t="shared" si="81"/>
        <v>Finance</v>
      </c>
      <c r="D594" t="s">
        <v>20</v>
      </c>
      <c r="E594" t="str">
        <f t="shared" si="82"/>
        <v>Dataverse</v>
      </c>
      <c r="F594">
        <v>17</v>
      </c>
      <c r="G594">
        <v>44000</v>
      </c>
      <c r="H594" s="1">
        <v>38991</v>
      </c>
      <c r="I594">
        <v>3</v>
      </c>
      <c r="J594" t="s">
        <v>57</v>
      </c>
      <c r="K594">
        <f t="shared" si="83"/>
        <v>2</v>
      </c>
      <c r="L594">
        <f t="shared" si="84"/>
        <v>4.5454545454545452E-5</v>
      </c>
      <c r="M594" t="b">
        <f t="shared" si="85"/>
        <v>1</v>
      </c>
      <c r="N594" t="b">
        <f t="shared" si="86"/>
        <v>1</v>
      </c>
      <c r="O594" t="s">
        <v>22</v>
      </c>
      <c r="P594">
        <f t="shared" si="87"/>
        <v>0.18181818181818174</v>
      </c>
      <c r="Q594">
        <f t="shared" si="88"/>
        <v>0.5</v>
      </c>
      <c r="R594">
        <f t="shared" si="89"/>
        <v>0.30909090909090908</v>
      </c>
    </row>
    <row r="595" spans="1:18">
      <c r="A595" t="s">
        <v>627</v>
      </c>
      <c r="B595" t="s">
        <v>74</v>
      </c>
      <c r="C595" t="str">
        <f t="shared" si="81"/>
        <v>Human Resources</v>
      </c>
      <c r="D595" t="s">
        <v>27</v>
      </c>
      <c r="E595" t="str">
        <f t="shared" si="82"/>
        <v>Technova</v>
      </c>
      <c r="F595">
        <v>20</v>
      </c>
      <c r="G595">
        <v>44000</v>
      </c>
      <c r="H595" s="1">
        <v>40966</v>
      </c>
      <c r="I595">
        <v>3</v>
      </c>
      <c r="J595" t="s">
        <v>57</v>
      </c>
      <c r="K595">
        <f t="shared" si="83"/>
        <v>2</v>
      </c>
      <c r="L595">
        <f t="shared" si="84"/>
        <v>4.5454545454545452E-5</v>
      </c>
      <c r="M595" t="b">
        <f t="shared" si="85"/>
        <v>1</v>
      </c>
      <c r="N595" t="b">
        <f t="shared" si="86"/>
        <v>1</v>
      </c>
      <c r="O595" t="s">
        <v>22</v>
      </c>
      <c r="P595">
        <f t="shared" si="87"/>
        <v>0.18181818181818174</v>
      </c>
      <c r="Q595">
        <f t="shared" si="88"/>
        <v>0.5</v>
      </c>
      <c r="R595">
        <f t="shared" si="89"/>
        <v>0.30909090909090908</v>
      </c>
    </row>
    <row r="596" spans="1:18">
      <c r="A596" t="s">
        <v>628</v>
      </c>
      <c r="B596" t="s">
        <v>74</v>
      </c>
      <c r="C596" t="str">
        <f t="shared" si="81"/>
        <v>Human Resources</v>
      </c>
      <c r="D596" t="s">
        <v>27</v>
      </c>
      <c r="E596" t="str">
        <f t="shared" si="82"/>
        <v>Technova</v>
      </c>
      <c r="F596">
        <v>21</v>
      </c>
      <c r="G596">
        <v>44000</v>
      </c>
      <c r="H596" s="1">
        <v>42204</v>
      </c>
      <c r="I596">
        <v>3</v>
      </c>
      <c r="J596" t="s">
        <v>57</v>
      </c>
      <c r="K596">
        <f t="shared" si="83"/>
        <v>2</v>
      </c>
      <c r="L596">
        <f t="shared" si="84"/>
        <v>4.5454545454545452E-5</v>
      </c>
      <c r="M596" t="b">
        <f t="shared" si="85"/>
        <v>1</v>
      </c>
      <c r="N596" t="b">
        <f t="shared" si="86"/>
        <v>1</v>
      </c>
      <c r="O596" t="s">
        <v>22</v>
      </c>
      <c r="P596">
        <f t="shared" si="87"/>
        <v>0.18181818181818174</v>
      </c>
      <c r="Q596">
        <f t="shared" si="88"/>
        <v>0.5</v>
      </c>
      <c r="R596">
        <f t="shared" si="89"/>
        <v>0.30909090909090908</v>
      </c>
    </row>
    <row r="597" spans="1:18">
      <c r="A597" t="s">
        <v>629</v>
      </c>
      <c r="B597" t="s">
        <v>74</v>
      </c>
      <c r="C597" t="str">
        <f t="shared" si="81"/>
        <v>Human Resources</v>
      </c>
      <c r="D597" t="s">
        <v>20</v>
      </c>
      <c r="E597" t="str">
        <f t="shared" si="82"/>
        <v>Dataverse</v>
      </c>
      <c r="F597">
        <v>5</v>
      </c>
      <c r="G597">
        <v>44000</v>
      </c>
      <c r="H597" s="1">
        <v>43462</v>
      </c>
      <c r="I597">
        <v>3</v>
      </c>
      <c r="J597" t="s">
        <v>57</v>
      </c>
      <c r="K597">
        <f t="shared" si="83"/>
        <v>2</v>
      </c>
      <c r="L597">
        <f t="shared" si="84"/>
        <v>4.5454545454545452E-5</v>
      </c>
      <c r="M597" t="b">
        <f t="shared" si="85"/>
        <v>0</v>
      </c>
      <c r="N597" t="b">
        <f t="shared" si="86"/>
        <v>0</v>
      </c>
      <c r="O597" t="s">
        <v>22</v>
      </c>
      <c r="P597">
        <f t="shared" si="87"/>
        <v>0.18181818181818174</v>
      </c>
      <c r="Q597">
        <f t="shared" si="88"/>
        <v>0.5</v>
      </c>
      <c r="R597">
        <f t="shared" si="89"/>
        <v>0.30909090909090908</v>
      </c>
    </row>
    <row r="598" spans="1:18">
      <c r="A598" t="s">
        <v>630</v>
      </c>
      <c r="B598" t="s">
        <v>19</v>
      </c>
      <c r="C598" t="str">
        <f t="shared" si="81"/>
        <v>Research &amp; Department</v>
      </c>
      <c r="D598" t="s">
        <v>20</v>
      </c>
      <c r="E598" t="str">
        <f t="shared" si="82"/>
        <v>Dataverse</v>
      </c>
      <c r="F598">
        <v>2</v>
      </c>
      <c r="G598">
        <v>22000</v>
      </c>
      <c r="H598" s="1">
        <v>44190</v>
      </c>
      <c r="I598">
        <v>3</v>
      </c>
      <c r="J598" t="s">
        <v>21</v>
      </c>
      <c r="K598">
        <f t="shared" si="83"/>
        <v>1</v>
      </c>
      <c r="L598">
        <f t="shared" si="84"/>
        <v>4.5454545454545452E-5</v>
      </c>
      <c r="M598" t="b">
        <f t="shared" si="85"/>
        <v>0</v>
      </c>
      <c r="N598" t="b">
        <f t="shared" si="86"/>
        <v>0</v>
      </c>
      <c r="O598" t="s">
        <v>22</v>
      </c>
      <c r="P598">
        <f t="shared" si="87"/>
        <v>0.18181818181818174</v>
      </c>
      <c r="Q598">
        <f t="shared" si="88"/>
        <v>0.5</v>
      </c>
      <c r="R598">
        <f t="shared" si="89"/>
        <v>0.30909090909090908</v>
      </c>
    </row>
    <row r="599" spans="1:18">
      <c r="A599" t="s">
        <v>631</v>
      </c>
      <c r="B599" t="s">
        <v>224</v>
      </c>
      <c r="C599" t="str">
        <f t="shared" si="81"/>
        <v>Business Strategy</v>
      </c>
      <c r="D599" t="s">
        <v>27</v>
      </c>
      <c r="E599" t="str">
        <f t="shared" si="82"/>
        <v>Technova</v>
      </c>
      <c r="F599">
        <v>18</v>
      </c>
      <c r="G599">
        <v>66000</v>
      </c>
      <c r="H599" s="1">
        <v>43342</v>
      </c>
      <c r="I599">
        <v>3</v>
      </c>
      <c r="J599" t="s">
        <v>174</v>
      </c>
      <c r="K599">
        <f t="shared" si="83"/>
        <v>3</v>
      </c>
      <c r="L599">
        <f t="shared" si="84"/>
        <v>4.5454545454545452E-5</v>
      </c>
      <c r="M599" t="b">
        <f t="shared" si="85"/>
        <v>1</v>
      </c>
      <c r="N599" t="b">
        <f t="shared" si="86"/>
        <v>1</v>
      </c>
      <c r="O599" t="s">
        <v>22</v>
      </c>
      <c r="P599">
        <f t="shared" si="87"/>
        <v>0.18181818181818174</v>
      </c>
      <c r="Q599">
        <f t="shared" si="88"/>
        <v>0.5</v>
      </c>
      <c r="R599">
        <f t="shared" si="89"/>
        <v>0.30909090909090908</v>
      </c>
    </row>
    <row r="600" spans="1:18">
      <c r="A600" t="s">
        <v>632</v>
      </c>
      <c r="B600" t="s">
        <v>56</v>
      </c>
      <c r="C600" t="str">
        <f t="shared" si="81"/>
        <v>IT &amp; Systems</v>
      </c>
      <c r="D600" t="s">
        <v>27</v>
      </c>
      <c r="E600" t="str">
        <f t="shared" si="82"/>
        <v>Technova</v>
      </c>
      <c r="F600">
        <v>17</v>
      </c>
      <c r="G600">
        <v>44000</v>
      </c>
      <c r="H600" s="1">
        <v>43278</v>
      </c>
      <c r="I600">
        <v>3</v>
      </c>
      <c r="J600" t="s">
        <v>57</v>
      </c>
      <c r="K600">
        <f t="shared" si="83"/>
        <v>2</v>
      </c>
      <c r="L600">
        <f t="shared" si="84"/>
        <v>4.5454545454545452E-5</v>
      </c>
      <c r="M600" t="b">
        <f t="shared" si="85"/>
        <v>1</v>
      </c>
      <c r="N600" t="b">
        <f t="shared" si="86"/>
        <v>1</v>
      </c>
      <c r="O600" t="s">
        <v>22</v>
      </c>
      <c r="P600">
        <f t="shared" si="87"/>
        <v>0.18181818181818174</v>
      </c>
      <c r="Q600">
        <f t="shared" si="88"/>
        <v>0.5</v>
      </c>
      <c r="R600">
        <f t="shared" si="89"/>
        <v>0.30909090909090908</v>
      </c>
    </row>
    <row r="601" spans="1:18">
      <c r="A601" t="s">
        <v>633</v>
      </c>
      <c r="B601" t="s">
        <v>60</v>
      </c>
      <c r="C601" t="str">
        <f t="shared" si="81"/>
        <v>Manufacturing and operations</v>
      </c>
      <c r="D601" t="s">
        <v>27</v>
      </c>
      <c r="E601" t="str">
        <f t="shared" si="82"/>
        <v>Technova</v>
      </c>
      <c r="F601">
        <v>10</v>
      </c>
      <c r="G601">
        <v>44000</v>
      </c>
      <c r="H601" s="1">
        <v>40470</v>
      </c>
      <c r="I601">
        <v>3</v>
      </c>
      <c r="J601" t="s">
        <v>57</v>
      </c>
      <c r="K601">
        <f t="shared" si="83"/>
        <v>2</v>
      </c>
      <c r="L601">
        <f t="shared" si="84"/>
        <v>4.5454545454545452E-5</v>
      </c>
      <c r="M601" t="b">
        <f t="shared" si="85"/>
        <v>0</v>
      </c>
      <c r="N601" t="b">
        <f t="shared" si="86"/>
        <v>1</v>
      </c>
      <c r="O601" t="s">
        <v>22</v>
      </c>
      <c r="P601">
        <f t="shared" si="87"/>
        <v>0.18181818181818174</v>
      </c>
      <c r="Q601">
        <f t="shared" si="88"/>
        <v>0.5</v>
      </c>
      <c r="R601">
        <f t="shared" si="89"/>
        <v>0.30909090909090908</v>
      </c>
    </row>
    <row r="602" spans="1:18">
      <c r="A602" t="s">
        <v>634</v>
      </c>
      <c r="B602" t="s">
        <v>67</v>
      </c>
      <c r="C602" t="str">
        <f t="shared" si="81"/>
        <v>Quality Assurance</v>
      </c>
      <c r="D602" t="s">
        <v>20</v>
      </c>
      <c r="E602" t="str">
        <f t="shared" si="82"/>
        <v>Dataverse</v>
      </c>
      <c r="F602">
        <v>25</v>
      </c>
      <c r="G602">
        <v>44000</v>
      </c>
      <c r="H602" s="1">
        <v>42436</v>
      </c>
      <c r="I602">
        <v>3</v>
      </c>
      <c r="J602" t="s">
        <v>57</v>
      </c>
      <c r="K602">
        <f t="shared" si="83"/>
        <v>2</v>
      </c>
      <c r="L602">
        <f t="shared" si="84"/>
        <v>4.5454545454545452E-5</v>
      </c>
      <c r="M602" t="b">
        <f t="shared" si="85"/>
        <v>1</v>
      </c>
      <c r="N602" t="b">
        <f t="shared" si="86"/>
        <v>1</v>
      </c>
      <c r="O602" t="s">
        <v>22</v>
      </c>
      <c r="P602">
        <f t="shared" si="87"/>
        <v>0.18181818181818174</v>
      </c>
      <c r="Q602">
        <f t="shared" si="88"/>
        <v>0.5</v>
      </c>
      <c r="R602">
        <f t="shared" si="89"/>
        <v>0.30909090909090908</v>
      </c>
    </row>
    <row r="603" spans="1:18">
      <c r="A603" t="s">
        <v>635</v>
      </c>
      <c r="B603" t="s">
        <v>70</v>
      </c>
      <c r="C603" t="str">
        <f t="shared" si="81"/>
        <v>Customer Experience</v>
      </c>
      <c r="D603" t="s">
        <v>27</v>
      </c>
      <c r="E603" t="str">
        <f t="shared" si="82"/>
        <v>Technova</v>
      </c>
      <c r="F603">
        <v>9</v>
      </c>
      <c r="G603">
        <v>88000</v>
      </c>
      <c r="H603" s="1">
        <v>39072</v>
      </c>
      <c r="I603">
        <v>4</v>
      </c>
      <c r="J603" t="s">
        <v>174</v>
      </c>
      <c r="K603">
        <f t="shared" si="83"/>
        <v>3</v>
      </c>
      <c r="L603">
        <f t="shared" si="84"/>
        <v>3.4090909090909092E-5</v>
      </c>
      <c r="M603" t="b">
        <f t="shared" si="85"/>
        <v>0</v>
      </c>
      <c r="N603" t="b">
        <f t="shared" si="86"/>
        <v>1</v>
      </c>
      <c r="O603" t="s">
        <v>22</v>
      </c>
      <c r="P603">
        <f t="shared" si="87"/>
        <v>1.1363636363636359E-2</v>
      </c>
      <c r="Q603">
        <f t="shared" si="88"/>
        <v>0.75</v>
      </c>
      <c r="R603">
        <f t="shared" si="89"/>
        <v>0.30681818181818188</v>
      </c>
    </row>
    <row r="604" spans="1:18">
      <c r="A604" t="s">
        <v>636</v>
      </c>
      <c r="B604" t="s">
        <v>70</v>
      </c>
      <c r="C604" t="str">
        <f t="shared" si="81"/>
        <v>Customer Experience</v>
      </c>
      <c r="D604" t="s">
        <v>27</v>
      </c>
      <c r="E604" t="str">
        <f t="shared" si="82"/>
        <v>Technova</v>
      </c>
      <c r="F604">
        <v>7</v>
      </c>
      <c r="G604">
        <v>89000</v>
      </c>
      <c r="H604" s="1">
        <v>41933</v>
      </c>
      <c r="I604">
        <v>4</v>
      </c>
      <c r="J604" t="s">
        <v>174</v>
      </c>
      <c r="K604">
        <f t="shared" si="83"/>
        <v>3</v>
      </c>
      <c r="L604">
        <f t="shared" si="84"/>
        <v>3.3707865168539323E-5</v>
      </c>
      <c r="M604" t="b">
        <f t="shared" si="85"/>
        <v>0</v>
      </c>
      <c r="N604" t="b">
        <f t="shared" si="86"/>
        <v>1</v>
      </c>
      <c r="O604" t="s">
        <v>22</v>
      </c>
      <c r="P604">
        <f t="shared" si="87"/>
        <v>5.6179775280898224E-3</v>
      </c>
      <c r="Q604">
        <f t="shared" si="88"/>
        <v>0.75</v>
      </c>
      <c r="R604">
        <f t="shared" si="89"/>
        <v>0.30337078651685395</v>
      </c>
    </row>
    <row r="605" spans="1:18">
      <c r="A605" t="s">
        <v>637</v>
      </c>
      <c r="B605" t="s">
        <v>70</v>
      </c>
      <c r="C605" t="str">
        <f t="shared" si="81"/>
        <v>Customer Experience</v>
      </c>
      <c r="D605" t="s">
        <v>27</v>
      </c>
      <c r="E605" t="str">
        <f t="shared" si="82"/>
        <v>Technova</v>
      </c>
      <c r="F605">
        <v>19</v>
      </c>
      <c r="G605">
        <v>67000</v>
      </c>
      <c r="H605" s="1">
        <v>39239</v>
      </c>
      <c r="I605">
        <v>3</v>
      </c>
      <c r="J605" t="s">
        <v>174</v>
      </c>
      <c r="K605">
        <f t="shared" si="83"/>
        <v>3</v>
      </c>
      <c r="L605">
        <f t="shared" si="84"/>
        <v>4.4776119402985078E-5</v>
      </c>
      <c r="M605" t="b">
        <f t="shared" si="85"/>
        <v>1</v>
      </c>
      <c r="N605" t="b">
        <f t="shared" si="86"/>
        <v>1</v>
      </c>
      <c r="O605" t="s">
        <v>22</v>
      </c>
      <c r="P605">
        <f t="shared" si="87"/>
        <v>0.17164179104477614</v>
      </c>
      <c r="Q605">
        <f t="shared" si="88"/>
        <v>0.5</v>
      </c>
      <c r="R605">
        <f t="shared" si="89"/>
        <v>0.30298507462686569</v>
      </c>
    </row>
    <row r="606" spans="1:18">
      <c r="A606" t="s">
        <v>638</v>
      </c>
      <c r="B606" t="s">
        <v>19</v>
      </c>
      <c r="C606" t="str">
        <f t="shared" si="81"/>
        <v>Research &amp; Department</v>
      </c>
      <c r="D606" t="s">
        <v>20</v>
      </c>
      <c r="E606" t="str">
        <f t="shared" si="82"/>
        <v>Dataverse</v>
      </c>
      <c r="F606">
        <v>8</v>
      </c>
      <c r="G606">
        <v>30000</v>
      </c>
      <c r="H606" s="1">
        <v>43257</v>
      </c>
      <c r="I606">
        <v>4</v>
      </c>
      <c r="J606" t="s">
        <v>21</v>
      </c>
      <c r="K606">
        <f t="shared" si="83"/>
        <v>1</v>
      </c>
      <c r="L606">
        <f t="shared" si="84"/>
        <v>3.3333333333333335E-5</v>
      </c>
      <c r="M606" t="b">
        <f t="shared" si="85"/>
        <v>0</v>
      </c>
      <c r="N606" t="b">
        <f t="shared" si="86"/>
        <v>1</v>
      </c>
      <c r="O606" t="s">
        <v>22</v>
      </c>
      <c r="P606">
        <f t="shared" si="87"/>
        <v>0</v>
      </c>
      <c r="Q606">
        <f t="shared" si="88"/>
        <v>0.75</v>
      </c>
      <c r="R606">
        <f t="shared" si="89"/>
        <v>0.30000000000000004</v>
      </c>
    </row>
    <row r="607" spans="1:18">
      <c r="A607" t="s">
        <v>639</v>
      </c>
      <c r="B607" t="s">
        <v>224</v>
      </c>
      <c r="C607" t="str">
        <f t="shared" si="81"/>
        <v>Business Strategy</v>
      </c>
      <c r="D607" t="s">
        <v>20</v>
      </c>
      <c r="E607" t="str">
        <f t="shared" si="82"/>
        <v>Dataverse</v>
      </c>
      <c r="F607">
        <v>7</v>
      </c>
      <c r="G607">
        <v>90000</v>
      </c>
      <c r="H607" s="1">
        <v>43795</v>
      </c>
      <c r="I607">
        <v>4</v>
      </c>
      <c r="J607" t="s">
        <v>174</v>
      </c>
      <c r="K607">
        <f t="shared" si="83"/>
        <v>3</v>
      </c>
      <c r="L607">
        <f t="shared" si="84"/>
        <v>3.3333333333333335E-5</v>
      </c>
      <c r="M607" t="b">
        <f t="shared" si="85"/>
        <v>0</v>
      </c>
      <c r="N607" t="b">
        <f t="shared" si="86"/>
        <v>1</v>
      </c>
      <c r="O607" t="s">
        <v>22</v>
      </c>
      <c r="P607">
        <f t="shared" si="87"/>
        <v>0</v>
      </c>
      <c r="Q607">
        <f t="shared" si="88"/>
        <v>0.75</v>
      </c>
      <c r="R607">
        <f t="shared" si="89"/>
        <v>0.30000000000000004</v>
      </c>
    </row>
    <row r="608" spans="1:18">
      <c r="A608" t="s">
        <v>640</v>
      </c>
      <c r="B608" t="s">
        <v>70</v>
      </c>
      <c r="C608" t="str">
        <f t="shared" si="81"/>
        <v>Customer Experience</v>
      </c>
      <c r="D608" t="s">
        <v>20</v>
      </c>
      <c r="E608" t="str">
        <f t="shared" si="82"/>
        <v>Dataverse</v>
      </c>
      <c r="F608">
        <v>3</v>
      </c>
      <c r="G608">
        <v>90000</v>
      </c>
      <c r="H608" s="1">
        <v>42697</v>
      </c>
      <c r="I608">
        <v>4</v>
      </c>
      <c r="J608" t="s">
        <v>174</v>
      </c>
      <c r="K608">
        <f t="shared" si="83"/>
        <v>3</v>
      </c>
      <c r="L608">
        <f t="shared" si="84"/>
        <v>3.3333333333333335E-5</v>
      </c>
      <c r="M608" t="b">
        <f t="shared" si="85"/>
        <v>0</v>
      </c>
      <c r="N608" t="b">
        <f t="shared" si="86"/>
        <v>0</v>
      </c>
      <c r="O608" t="s">
        <v>22</v>
      </c>
      <c r="P608">
        <f t="shared" si="87"/>
        <v>0</v>
      </c>
      <c r="Q608">
        <f t="shared" si="88"/>
        <v>0.75</v>
      </c>
      <c r="R608">
        <f t="shared" si="89"/>
        <v>0.30000000000000004</v>
      </c>
    </row>
    <row r="609" spans="1:18">
      <c r="A609" t="s">
        <v>641</v>
      </c>
      <c r="B609" t="s">
        <v>102</v>
      </c>
      <c r="C609" t="str">
        <f t="shared" si="81"/>
        <v>Finance</v>
      </c>
      <c r="D609" t="s">
        <v>27</v>
      </c>
      <c r="E609" t="str">
        <f t="shared" si="82"/>
        <v>Technova</v>
      </c>
      <c r="F609">
        <v>12</v>
      </c>
      <c r="G609">
        <v>45000</v>
      </c>
      <c r="H609" s="1">
        <v>44509</v>
      </c>
      <c r="I609">
        <v>3</v>
      </c>
      <c r="J609" t="s">
        <v>57</v>
      </c>
      <c r="K609">
        <f t="shared" si="83"/>
        <v>2</v>
      </c>
      <c r="L609">
        <f t="shared" si="84"/>
        <v>4.4444444444444447E-5</v>
      </c>
      <c r="M609" t="b">
        <f t="shared" si="85"/>
        <v>0</v>
      </c>
      <c r="N609" t="b">
        <f t="shared" si="86"/>
        <v>1</v>
      </c>
      <c r="O609" t="s">
        <v>22</v>
      </c>
      <c r="P609">
        <f t="shared" si="87"/>
        <v>0.16666666666666666</v>
      </c>
      <c r="Q609">
        <f t="shared" si="88"/>
        <v>0.5</v>
      </c>
      <c r="R609">
        <f t="shared" si="89"/>
        <v>0.3</v>
      </c>
    </row>
    <row r="610" spans="1:18">
      <c r="A610" t="s">
        <v>642</v>
      </c>
      <c r="B610" t="s">
        <v>102</v>
      </c>
      <c r="C610" t="str">
        <f t="shared" si="81"/>
        <v>Finance</v>
      </c>
      <c r="D610" t="s">
        <v>20</v>
      </c>
      <c r="E610" t="str">
        <f t="shared" si="82"/>
        <v>Dataverse</v>
      </c>
      <c r="F610">
        <v>14</v>
      </c>
      <c r="G610">
        <v>36000</v>
      </c>
      <c r="H610" s="1">
        <v>42129</v>
      </c>
      <c r="I610">
        <v>2</v>
      </c>
      <c r="J610" t="s">
        <v>57</v>
      </c>
      <c r="K610">
        <f t="shared" si="83"/>
        <v>2</v>
      </c>
      <c r="L610">
        <f t="shared" si="84"/>
        <v>5.5555555555555558E-5</v>
      </c>
      <c r="M610" t="b">
        <f t="shared" si="85"/>
        <v>0</v>
      </c>
      <c r="N610" t="b">
        <f t="shared" si="86"/>
        <v>1</v>
      </c>
      <c r="O610" t="s">
        <v>22</v>
      </c>
      <c r="P610">
        <f t="shared" si="87"/>
        <v>0.33333333333333331</v>
      </c>
      <c r="Q610">
        <f t="shared" si="88"/>
        <v>0.25</v>
      </c>
      <c r="R610">
        <f t="shared" si="89"/>
        <v>0.3</v>
      </c>
    </row>
    <row r="611" spans="1:18">
      <c r="A611" t="s">
        <v>643</v>
      </c>
      <c r="B611" t="s">
        <v>74</v>
      </c>
      <c r="C611" t="str">
        <f t="shared" si="81"/>
        <v>Human Resources</v>
      </c>
      <c r="D611" t="s">
        <v>27</v>
      </c>
      <c r="E611" t="str">
        <f t="shared" si="82"/>
        <v>Technova</v>
      </c>
      <c r="F611">
        <v>10</v>
      </c>
      <c r="G611">
        <v>45000</v>
      </c>
      <c r="H611" s="1">
        <v>40127</v>
      </c>
      <c r="I611">
        <v>3</v>
      </c>
      <c r="J611" t="s">
        <v>57</v>
      </c>
      <c r="K611">
        <f t="shared" si="83"/>
        <v>2</v>
      </c>
      <c r="L611">
        <f t="shared" si="84"/>
        <v>4.4444444444444447E-5</v>
      </c>
      <c r="M611" t="b">
        <f t="shared" si="85"/>
        <v>0</v>
      </c>
      <c r="N611" t="b">
        <f t="shared" si="86"/>
        <v>1</v>
      </c>
      <c r="O611" t="s">
        <v>22</v>
      </c>
      <c r="P611">
        <f t="shared" si="87"/>
        <v>0.16666666666666666</v>
      </c>
      <c r="Q611">
        <f t="shared" si="88"/>
        <v>0.5</v>
      </c>
      <c r="R611">
        <f t="shared" si="89"/>
        <v>0.3</v>
      </c>
    </row>
    <row r="612" spans="1:18">
      <c r="A612" t="s">
        <v>644</v>
      </c>
      <c r="B612" t="s">
        <v>74</v>
      </c>
      <c r="C612" t="str">
        <f t="shared" si="81"/>
        <v>Human Resources</v>
      </c>
      <c r="D612" t="s">
        <v>27</v>
      </c>
      <c r="E612" t="str">
        <f t="shared" si="82"/>
        <v>Technova</v>
      </c>
      <c r="F612">
        <v>14</v>
      </c>
      <c r="G612">
        <v>36000</v>
      </c>
      <c r="H612" s="1">
        <v>42550</v>
      </c>
      <c r="I612">
        <v>2</v>
      </c>
      <c r="J612" t="s">
        <v>57</v>
      </c>
      <c r="K612">
        <f t="shared" si="83"/>
        <v>2</v>
      </c>
      <c r="L612">
        <f t="shared" si="84"/>
        <v>5.5555555555555558E-5</v>
      </c>
      <c r="M612" t="b">
        <f t="shared" si="85"/>
        <v>0</v>
      </c>
      <c r="N612" t="b">
        <f t="shared" si="86"/>
        <v>1</v>
      </c>
      <c r="O612" t="s">
        <v>22</v>
      </c>
      <c r="P612">
        <f t="shared" si="87"/>
        <v>0.33333333333333331</v>
      </c>
      <c r="Q612">
        <f t="shared" si="88"/>
        <v>0.25</v>
      </c>
      <c r="R612">
        <f t="shared" si="89"/>
        <v>0.3</v>
      </c>
    </row>
    <row r="613" spans="1:18">
      <c r="A613" t="s">
        <v>645</v>
      </c>
      <c r="B613" t="s">
        <v>74</v>
      </c>
      <c r="C613" t="str">
        <f t="shared" si="81"/>
        <v>Human Resources</v>
      </c>
      <c r="D613" t="s">
        <v>27</v>
      </c>
      <c r="E613" t="str">
        <f t="shared" si="82"/>
        <v>Technova</v>
      </c>
      <c r="F613">
        <v>19</v>
      </c>
      <c r="G613">
        <v>36000</v>
      </c>
      <c r="H613" s="1">
        <v>42696</v>
      </c>
      <c r="I613">
        <v>2</v>
      </c>
      <c r="J613" t="s">
        <v>57</v>
      </c>
      <c r="K613">
        <f t="shared" si="83"/>
        <v>2</v>
      </c>
      <c r="L613">
        <f t="shared" si="84"/>
        <v>5.5555555555555558E-5</v>
      </c>
      <c r="M613" t="b">
        <f t="shared" si="85"/>
        <v>1</v>
      </c>
      <c r="N613" t="b">
        <f t="shared" si="86"/>
        <v>1</v>
      </c>
      <c r="O613" t="s">
        <v>22</v>
      </c>
      <c r="P613">
        <f t="shared" si="87"/>
        <v>0.33333333333333331</v>
      </c>
      <c r="Q613">
        <f t="shared" si="88"/>
        <v>0.25</v>
      </c>
      <c r="R613">
        <f t="shared" si="89"/>
        <v>0.3</v>
      </c>
    </row>
    <row r="614" spans="1:18">
      <c r="A614" t="s">
        <v>646</v>
      </c>
      <c r="B614" t="s">
        <v>74</v>
      </c>
      <c r="C614" t="str">
        <f t="shared" si="81"/>
        <v>Human Resources</v>
      </c>
      <c r="D614" t="s">
        <v>20</v>
      </c>
      <c r="E614" t="str">
        <f t="shared" si="82"/>
        <v>Dataverse</v>
      </c>
      <c r="F614">
        <v>21</v>
      </c>
      <c r="G614">
        <v>36000</v>
      </c>
      <c r="H614" s="1">
        <v>41678</v>
      </c>
      <c r="I614">
        <v>2</v>
      </c>
      <c r="J614" t="s">
        <v>57</v>
      </c>
      <c r="K614">
        <f t="shared" si="83"/>
        <v>2</v>
      </c>
      <c r="L614">
        <f t="shared" si="84"/>
        <v>5.5555555555555558E-5</v>
      </c>
      <c r="M614" t="b">
        <f t="shared" si="85"/>
        <v>1</v>
      </c>
      <c r="N614" t="b">
        <f t="shared" si="86"/>
        <v>1</v>
      </c>
      <c r="O614" t="s">
        <v>22</v>
      </c>
      <c r="P614">
        <f t="shared" si="87"/>
        <v>0.33333333333333331</v>
      </c>
      <c r="Q614">
        <f t="shared" si="88"/>
        <v>0.25</v>
      </c>
      <c r="R614">
        <f t="shared" si="89"/>
        <v>0.3</v>
      </c>
    </row>
    <row r="615" spans="1:18">
      <c r="A615" t="s">
        <v>647</v>
      </c>
      <c r="B615" t="s">
        <v>56</v>
      </c>
      <c r="C615" t="str">
        <f t="shared" si="81"/>
        <v>IT &amp; Systems</v>
      </c>
      <c r="D615" t="s">
        <v>20</v>
      </c>
      <c r="E615" t="str">
        <f t="shared" si="82"/>
        <v>Dataverse</v>
      </c>
      <c r="F615">
        <v>7</v>
      </c>
      <c r="G615">
        <v>45000</v>
      </c>
      <c r="H615" s="1">
        <v>44212</v>
      </c>
      <c r="I615">
        <v>3</v>
      </c>
      <c r="J615" t="s">
        <v>57</v>
      </c>
      <c r="K615">
        <f t="shared" si="83"/>
        <v>2</v>
      </c>
      <c r="L615">
        <f t="shared" si="84"/>
        <v>4.4444444444444447E-5</v>
      </c>
      <c r="M615" t="b">
        <f t="shared" si="85"/>
        <v>0</v>
      </c>
      <c r="N615" t="b">
        <f t="shared" si="86"/>
        <v>1</v>
      </c>
      <c r="O615" t="s">
        <v>22</v>
      </c>
      <c r="P615">
        <f t="shared" si="87"/>
        <v>0.16666666666666666</v>
      </c>
      <c r="Q615">
        <f t="shared" si="88"/>
        <v>0.5</v>
      </c>
      <c r="R615">
        <f t="shared" si="89"/>
        <v>0.3</v>
      </c>
    </row>
    <row r="616" spans="1:18">
      <c r="A616" t="s">
        <v>648</v>
      </c>
      <c r="B616" t="s">
        <v>56</v>
      </c>
      <c r="C616" t="str">
        <f t="shared" si="81"/>
        <v>IT &amp; Systems</v>
      </c>
      <c r="D616" t="s">
        <v>20</v>
      </c>
      <c r="E616" t="str">
        <f t="shared" si="82"/>
        <v>Dataverse</v>
      </c>
      <c r="F616">
        <v>21</v>
      </c>
      <c r="G616">
        <v>36000</v>
      </c>
      <c r="H616" s="1">
        <v>40020</v>
      </c>
      <c r="I616">
        <v>2</v>
      </c>
      <c r="J616" t="s">
        <v>57</v>
      </c>
      <c r="K616">
        <f t="shared" si="83"/>
        <v>2</v>
      </c>
      <c r="L616">
        <f t="shared" si="84"/>
        <v>5.5555555555555558E-5</v>
      </c>
      <c r="M616" t="b">
        <f t="shared" si="85"/>
        <v>1</v>
      </c>
      <c r="N616" t="b">
        <f t="shared" si="86"/>
        <v>1</v>
      </c>
      <c r="O616" t="s">
        <v>22</v>
      </c>
      <c r="P616">
        <f t="shared" si="87"/>
        <v>0.33333333333333331</v>
      </c>
      <c r="Q616">
        <f t="shared" si="88"/>
        <v>0.25</v>
      </c>
      <c r="R616">
        <f t="shared" si="89"/>
        <v>0.3</v>
      </c>
    </row>
    <row r="617" spans="1:18">
      <c r="A617" t="s">
        <v>649</v>
      </c>
      <c r="B617" t="s">
        <v>56</v>
      </c>
      <c r="C617" t="str">
        <f t="shared" si="81"/>
        <v>IT &amp; Systems</v>
      </c>
      <c r="D617" t="s">
        <v>20</v>
      </c>
      <c r="E617" t="str">
        <f t="shared" si="82"/>
        <v>Dataverse</v>
      </c>
      <c r="F617">
        <v>5</v>
      </c>
      <c r="G617">
        <v>45000</v>
      </c>
      <c r="H617" s="1">
        <v>39423</v>
      </c>
      <c r="I617">
        <v>3</v>
      </c>
      <c r="J617" t="s">
        <v>57</v>
      </c>
      <c r="K617">
        <f t="shared" si="83"/>
        <v>2</v>
      </c>
      <c r="L617">
        <f t="shared" si="84"/>
        <v>4.4444444444444447E-5</v>
      </c>
      <c r="M617" t="b">
        <f t="shared" si="85"/>
        <v>0</v>
      </c>
      <c r="N617" t="b">
        <f t="shared" si="86"/>
        <v>0</v>
      </c>
      <c r="O617" t="s">
        <v>22</v>
      </c>
      <c r="P617">
        <f t="shared" si="87"/>
        <v>0.16666666666666666</v>
      </c>
      <c r="Q617">
        <f t="shared" si="88"/>
        <v>0.5</v>
      </c>
      <c r="R617">
        <f t="shared" si="89"/>
        <v>0.3</v>
      </c>
    </row>
    <row r="618" spans="1:18">
      <c r="A618" t="s">
        <v>650</v>
      </c>
      <c r="B618" t="s">
        <v>25</v>
      </c>
      <c r="C618" t="str">
        <f t="shared" si="81"/>
        <v>Sales &amp; Marketing</v>
      </c>
      <c r="D618" t="s">
        <v>20</v>
      </c>
      <c r="E618" t="str">
        <f t="shared" si="82"/>
        <v>Dataverse</v>
      </c>
      <c r="F618">
        <v>14</v>
      </c>
      <c r="G618">
        <v>18000</v>
      </c>
      <c r="H618" s="1">
        <v>42848</v>
      </c>
      <c r="I618">
        <v>2</v>
      </c>
      <c r="J618" t="s">
        <v>21</v>
      </c>
      <c r="K618">
        <f t="shared" si="83"/>
        <v>1</v>
      </c>
      <c r="L618">
        <f t="shared" si="84"/>
        <v>5.5555555555555558E-5</v>
      </c>
      <c r="M618" t="b">
        <f t="shared" si="85"/>
        <v>0</v>
      </c>
      <c r="N618" t="b">
        <f t="shared" si="86"/>
        <v>1</v>
      </c>
      <c r="O618" t="s">
        <v>22</v>
      </c>
      <c r="P618">
        <f t="shared" si="87"/>
        <v>0.33333333333333331</v>
      </c>
      <c r="Q618">
        <f t="shared" si="88"/>
        <v>0.25</v>
      </c>
      <c r="R618">
        <f t="shared" si="89"/>
        <v>0.3</v>
      </c>
    </row>
    <row r="619" spans="1:18">
      <c r="A619" t="s">
        <v>651</v>
      </c>
      <c r="B619" t="s">
        <v>67</v>
      </c>
      <c r="C619" t="str">
        <f t="shared" si="81"/>
        <v>Quality Assurance</v>
      </c>
      <c r="D619" t="s">
        <v>27</v>
      </c>
      <c r="E619" t="str">
        <f t="shared" si="82"/>
        <v>Technova</v>
      </c>
      <c r="F619">
        <v>13</v>
      </c>
      <c r="G619">
        <v>36000</v>
      </c>
      <c r="H619" s="1">
        <v>45195</v>
      </c>
      <c r="I619">
        <v>2</v>
      </c>
      <c r="J619" t="s">
        <v>57</v>
      </c>
      <c r="K619">
        <f t="shared" si="83"/>
        <v>2</v>
      </c>
      <c r="L619">
        <f t="shared" si="84"/>
        <v>5.5555555555555558E-5</v>
      </c>
      <c r="M619" t="b">
        <f t="shared" si="85"/>
        <v>0</v>
      </c>
      <c r="N619" t="b">
        <f t="shared" si="86"/>
        <v>1</v>
      </c>
      <c r="O619" t="s">
        <v>22</v>
      </c>
      <c r="P619">
        <f t="shared" si="87"/>
        <v>0.33333333333333331</v>
      </c>
      <c r="Q619">
        <f t="shared" si="88"/>
        <v>0.25</v>
      </c>
      <c r="R619">
        <f t="shared" si="89"/>
        <v>0.3</v>
      </c>
    </row>
    <row r="620" spans="1:18">
      <c r="A620" t="s">
        <v>652</v>
      </c>
      <c r="B620" t="s">
        <v>67</v>
      </c>
      <c r="C620" t="str">
        <f t="shared" si="81"/>
        <v>Quality Assurance</v>
      </c>
      <c r="D620" t="s">
        <v>27</v>
      </c>
      <c r="E620" t="str">
        <f t="shared" si="82"/>
        <v>Technova</v>
      </c>
      <c r="F620">
        <v>25</v>
      </c>
      <c r="G620">
        <v>36000</v>
      </c>
      <c r="H620" s="1">
        <v>40465</v>
      </c>
      <c r="I620">
        <v>2</v>
      </c>
      <c r="J620" t="s">
        <v>57</v>
      </c>
      <c r="K620">
        <f t="shared" si="83"/>
        <v>2</v>
      </c>
      <c r="L620">
        <f t="shared" si="84"/>
        <v>5.5555555555555558E-5</v>
      </c>
      <c r="M620" t="b">
        <f t="shared" si="85"/>
        <v>1</v>
      </c>
      <c r="N620" t="b">
        <f t="shared" si="86"/>
        <v>1</v>
      </c>
      <c r="O620" t="s">
        <v>22</v>
      </c>
      <c r="P620">
        <f t="shared" si="87"/>
        <v>0.33333333333333331</v>
      </c>
      <c r="Q620">
        <f t="shared" si="88"/>
        <v>0.25</v>
      </c>
      <c r="R620">
        <f t="shared" si="89"/>
        <v>0.3</v>
      </c>
    </row>
    <row r="621" spans="1:18">
      <c r="A621" t="s">
        <v>653</v>
      </c>
      <c r="B621" t="s">
        <v>67</v>
      </c>
      <c r="C621" t="str">
        <f t="shared" si="81"/>
        <v>Quality Assurance</v>
      </c>
      <c r="D621" t="s">
        <v>27</v>
      </c>
      <c r="E621" t="str">
        <f t="shared" si="82"/>
        <v>Technova</v>
      </c>
      <c r="F621">
        <v>17</v>
      </c>
      <c r="G621">
        <v>45000</v>
      </c>
      <c r="H621" s="1">
        <v>41934</v>
      </c>
      <c r="I621">
        <v>3</v>
      </c>
      <c r="J621" t="s">
        <v>57</v>
      </c>
      <c r="K621">
        <f t="shared" si="83"/>
        <v>2</v>
      </c>
      <c r="L621">
        <f t="shared" si="84"/>
        <v>4.4444444444444447E-5</v>
      </c>
      <c r="M621" t="b">
        <f t="shared" si="85"/>
        <v>1</v>
      </c>
      <c r="N621" t="b">
        <f t="shared" si="86"/>
        <v>1</v>
      </c>
      <c r="O621" t="s">
        <v>22</v>
      </c>
      <c r="P621">
        <f t="shared" si="87"/>
        <v>0.16666666666666666</v>
      </c>
      <c r="Q621">
        <f t="shared" si="88"/>
        <v>0.5</v>
      </c>
      <c r="R621">
        <f t="shared" si="89"/>
        <v>0.3</v>
      </c>
    </row>
    <row r="622" spans="1:18">
      <c r="A622" t="s">
        <v>654</v>
      </c>
      <c r="B622" t="s">
        <v>204</v>
      </c>
      <c r="C622" t="str">
        <f t="shared" si="81"/>
        <v>Administrative Services</v>
      </c>
      <c r="D622" t="s">
        <v>20</v>
      </c>
      <c r="E622" t="str">
        <f t="shared" si="82"/>
        <v>Dataverse</v>
      </c>
      <c r="F622">
        <v>2</v>
      </c>
      <c r="G622">
        <v>68000</v>
      </c>
      <c r="H622" s="1">
        <v>44721</v>
      </c>
      <c r="I622">
        <v>3</v>
      </c>
      <c r="J622" t="s">
        <v>174</v>
      </c>
      <c r="K622">
        <f t="shared" si="83"/>
        <v>3</v>
      </c>
      <c r="L622">
        <f t="shared" si="84"/>
        <v>4.4117647058823532E-5</v>
      </c>
      <c r="M622" t="b">
        <f t="shared" si="85"/>
        <v>0</v>
      </c>
      <c r="N622" t="b">
        <f t="shared" si="86"/>
        <v>0</v>
      </c>
      <c r="O622" t="s">
        <v>22</v>
      </c>
      <c r="P622">
        <f t="shared" si="87"/>
        <v>0.16176470588235295</v>
      </c>
      <c r="Q622">
        <f t="shared" si="88"/>
        <v>0.5</v>
      </c>
      <c r="R622">
        <f t="shared" si="89"/>
        <v>0.29705882352941176</v>
      </c>
    </row>
    <row r="623" spans="1:18">
      <c r="A623" t="s">
        <v>655</v>
      </c>
      <c r="B623" t="s">
        <v>70</v>
      </c>
      <c r="C623" t="str">
        <f t="shared" si="81"/>
        <v>Customer Experience</v>
      </c>
      <c r="D623" t="s">
        <v>27</v>
      </c>
      <c r="E623" t="str">
        <f t="shared" si="82"/>
        <v>Technova</v>
      </c>
      <c r="F623">
        <v>9</v>
      </c>
      <c r="G623">
        <v>46000</v>
      </c>
      <c r="H623" s="1">
        <v>40200</v>
      </c>
      <c r="I623">
        <v>3</v>
      </c>
      <c r="J623" t="s">
        <v>57</v>
      </c>
      <c r="K623">
        <f t="shared" si="83"/>
        <v>2</v>
      </c>
      <c r="L623">
        <f t="shared" si="84"/>
        <v>4.347826086956522E-5</v>
      </c>
      <c r="M623" t="b">
        <f t="shared" si="85"/>
        <v>0</v>
      </c>
      <c r="N623" t="b">
        <f t="shared" si="86"/>
        <v>1</v>
      </c>
      <c r="O623" t="s">
        <v>22</v>
      </c>
      <c r="P623">
        <f t="shared" si="87"/>
        <v>0.15217391304347827</v>
      </c>
      <c r="Q623">
        <f t="shared" si="88"/>
        <v>0.5</v>
      </c>
      <c r="R623">
        <f t="shared" si="89"/>
        <v>0.29130434782608694</v>
      </c>
    </row>
    <row r="624" spans="1:18">
      <c r="A624" t="s">
        <v>656</v>
      </c>
      <c r="B624" t="s">
        <v>70</v>
      </c>
      <c r="C624" t="str">
        <f t="shared" si="81"/>
        <v>Customer Experience</v>
      </c>
      <c r="D624" t="s">
        <v>27</v>
      </c>
      <c r="E624" t="str">
        <f t="shared" si="82"/>
        <v>Technova</v>
      </c>
      <c r="F624">
        <v>3</v>
      </c>
      <c r="G624">
        <v>46000</v>
      </c>
      <c r="H624" s="1">
        <v>44917</v>
      </c>
      <c r="I624">
        <v>3</v>
      </c>
      <c r="J624" t="s">
        <v>57</v>
      </c>
      <c r="K624">
        <f t="shared" si="83"/>
        <v>2</v>
      </c>
      <c r="L624">
        <f t="shared" si="84"/>
        <v>4.347826086956522E-5</v>
      </c>
      <c r="M624" t="b">
        <f t="shared" si="85"/>
        <v>0</v>
      </c>
      <c r="N624" t="b">
        <f t="shared" si="86"/>
        <v>0</v>
      </c>
      <c r="O624" t="s">
        <v>22</v>
      </c>
      <c r="P624">
        <f t="shared" si="87"/>
        <v>0.15217391304347827</v>
      </c>
      <c r="Q624">
        <f t="shared" si="88"/>
        <v>0.5</v>
      </c>
      <c r="R624">
        <f t="shared" si="89"/>
        <v>0.29130434782608694</v>
      </c>
    </row>
    <row r="625" spans="1:18">
      <c r="A625" t="s">
        <v>657</v>
      </c>
      <c r="B625" t="s">
        <v>102</v>
      </c>
      <c r="C625" t="str">
        <f t="shared" si="81"/>
        <v>Finance</v>
      </c>
      <c r="D625" t="s">
        <v>27</v>
      </c>
      <c r="E625" t="str">
        <f t="shared" si="82"/>
        <v>Technova</v>
      </c>
      <c r="F625">
        <v>25</v>
      </c>
      <c r="G625">
        <v>46000</v>
      </c>
      <c r="H625" s="1">
        <v>40668</v>
      </c>
      <c r="I625">
        <v>3</v>
      </c>
      <c r="J625" t="s">
        <v>57</v>
      </c>
      <c r="K625">
        <f t="shared" si="83"/>
        <v>2</v>
      </c>
      <c r="L625">
        <f t="shared" si="84"/>
        <v>4.347826086956522E-5</v>
      </c>
      <c r="M625" t="b">
        <f t="shared" si="85"/>
        <v>1</v>
      </c>
      <c r="N625" t="b">
        <f t="shared" si="86"/>
        <v>1</v>
      </c>
      <c r="O625" t="s">
        <v>22</v>
      </c>
      <c r="P625">
        <f t="shared" si="87"/>
        <v>0.15217391304347827</v>
      </c>
      <c r="Q625">
        <f t="shared" si="88"/>
        <v>0.5</v>
      </c>
      <c r="R625">
        <f t="shared" si="89"/>
        <v>0.29130434782608694</v>
      </c>
    </row>
    <row r="626" spans="1:18">
      <c r="A626" t="s">
        <v>658</v>
      </c>
      <c r="B626" t="s">
        <v>102</v>
      </c>
      <c r="C626" t="str">
        <f t="shared" si="81"/>
        <v>Finance</v>
      </c>
      <c r="D626" t="s">
        <v>27</v>
      </c>
      <c r="E626" t="str">
        <f t="shared" si="82"/>
        <v>Technova</v>
      </c>
      <c r="F626">
        <v>17</v>
      </c>
      <c r="G626">
        <v>46000</v>
      </c>
      <c r="H626" s="1">
        <v>38468</v>
      </c>
      <c r="I626">
        <v>3</v>
      </c>
      <c r="J626" t="s">
        <v>57</v>
      </c>
      <c r="K626">
        <f t="shared" si="83"/>
        <v>2</v>
      </c>
      <c r="L626">
        <f t="shared" si="84"/>
        <v>4.347826086956522E-5</v>
      </c>
      <c r="M626" t="b">
        <f t="shared" si="85"/>
        <v>1</v>
      </c>
      <c r="N626" t="b">
        <f t="shared" si="86"/>
        <v>1</v>
      </c>
      <c r="O626" t="s">
        <v>22</v>
      </c>
      <c r="P626">
        <f t="shared" si="87"/>
        <v>0.15217391304347827</v>
      </c>
      <c r="Q626">
        <f t="shared" si="88"/>
        <v>0.5</v>
      </c>
      <c r="R626">
        <f t="shared" si="89"/>
        <v>0.29130434782608694</v>
      </c>
    </row>
    <row r="627" spans="1:18">
      <c r="A627" t="s">
        <v>659</v>
      </c>
      <c r="B627" t="s">
        <v>19</v>
      </c>
      <c r="C627" t="str">
        <f t="shared" si="81"/>
        <v>Research &amp; Department</v>
      </c>
      <c r="D627" t="s">
        <v>20</v>
      </c>
      <c r="E627" t="str">
        <f t="shared" si="82"/>
        <v>Dataverse</v>
      </c>
      <c r="F627">
        <v>17</v>
      </c>
      <c r="G627">
        <v>23000</v>
      </c>
      <c r="H627" s="1">
        <v>41207</v>
      </c>
      <c r="I627">
        <v>3</v>
      </c>
      <c r="J627" t="s">
        <v>21</v>
      </c>
      <c r="K627">
        <f t="shared" si="83"/>
        <v>1</v>
      </c>
      <c r="L627">
        <f t="shared" si="84"/>
        <v>4.347826086956522E-5</v>
      </c>
      <c r="M627" t="b">
        <f t="shared" si="85"/>
        <v>1</v>
      </c>
      <c r="N627" t="b">
        <f t="shared" si="86"/>
        <v>1</v>
      </c>
      <c r="O627" t="s">
        <v>22</v>
      </c>
      <c r="P627">
        <f t="shared" si="87"/>
        <v>0.15217391304347827</v>
      </c>
      <c r="Q627">
        <f t="shared" si="88"/>
        <v>0.5</v>
      </c>
      <c r="R627">
        <f t="shared" si="89"/>
        <v>0.29130434782608694</v>
      </c>
    </row>
    <row r="628" spans="1:18">
      <c r="A628" t="s">
        <v>660</v>
      </c>
      <c r="B628" t="s">
        <v>19</v>
      </c>
      <c r="C628" t="str">
        <f t="shared" si="81"/>
        <v>Research &amp; Department</v>
      </c>
      <c r="D628" t="s">
        <v>20</v>
      </c>
      <c r="E628" t="str">
        <f t="shared" si="82"/>
        <v>Dataverse</v>
      </c>
      <c r="F628">
        <v>22</v>
      </c>
      <c r="G628">
        <v>23000</v>
      </c>
      <c r="H628" s="1">
        <v>42820</v>
      </c>
      <c r="I628">
        <v>3</v>
      </c>
      <c r="J628" t="s">
        <v>21</v>
      </c>
      <c r="K628">
        <f t="shared" si="83"/>
        <v>1</v>
      </c>
      <c r="L628">
        <f t="shared" si="84"/>
        <v>4.347826086956522E-5</v>
      </c>
      <c r="M628" t="b">
        <f t="shared" si="85"/>
        <v>1</v>
      </c>
      <c r="N628" t="b">
        <f t="shared" si="86"/>
        <v>1</v>
      </c>
      <c r="O628" t="s">
        <v>22</v>
      </c>
      <c r="P628">
        <f t="shared" si="87"/>
        <v>0.15217391304347827</v>
      </c>
      <c r="Q628">
        <f t="shared" si="88"/>
        <v>0.5</v>
      </c>
      <c r="R628">
        <f t="shared" si="89"/>
        <v>0.29130434782608694</v>
      </c>
    </row>
    <row r="629" spans="1:18">
      <c r="A629" t="s">
        <v>661</v>
      </c>
      <c r="B629" t="s">
        <v>19</v>
      </c>
      <c r="C629" t="str">
        <f t="shared" si="81"/>
        <v>Research &amp; Department</v>
      </c>
      <c r="D629" t="s">
        <v>20</v>
      </c>
      <c r="E629" t="str">
        <f t="shared" si="82"/>
        <v>Dataverse</v>
      </c>
      <c r="F629">
        <v>8</v>
      </c>
      <c r="G629">
        <v>23000</v>
      </c>
      <c r="H629" s="1">
        <v>38869</v>
      </c>
      <c r="I629">
        <v>3</v>
      </c>
      <c r="J629" t="s">
        <v>21</v>
      </c>
      <c r="K629">
        <f t="shared" si="83"/>
        <v>1</v>
      </c>
      <c r="L629">
        <f t="shared" si="84"/>
        <v>4.347826086956522E-5</v>
      </c>
      <c r="M629" t="b">
        <f t="shared" si="85"/>
        <v>0</v>
      </c>
      <c r="N629" t="b">
        <f t="shared" si="86"/>
        <v>1</v>
      </c>
      <c r="O629" t="s">
        <v>22</v>
      </c>
      <c r="P629">
        <f t="shared" si="87"/>
        <v>0.15217391304347827</v>
      </c>
      <c r="Q629">
        <f t="shared" si="88"/>
        <v>0.5</v>
      </c>
      <c r="R629">
        <f t="shared" si="89"/>
        <v>0.29130434782608694</v>
      </c>
    </row>
    <row r="630" spans="1:18">
      <c r="A630" t="s">
        <v>662</v>
      </c>
      <c r="B630" t="s">
        <v>60</v>
      </c>
      <c r="C630" t="str">
        <f t="shared" si="81"/>
        <v>Manufacturing and operations</v>
      </c>
      <c r="D630" t="s">
        <v>20</v>
      </c>
      <c r="E630" t="str">
        <f t="shared" si="82"/>
        <v>Dataverse</v>
      </c>
      <c r="F630">
        <v>1</v>
      </c>
      <c r="G630">
        <v>46000</v>
      </c>
      <c r="H630" s="1">
        <v>38523</v>
      </c>
      <c r="I630">
        <v>3</v>
      </c>
      <c r="J630" t="s">
        <v>57</v>
      </c>
      <c r="K630">
        <f t="shared" si="83"/>
        <v>2</v>
      </c>
      <c r="L630">
        <f t="shared" si="84"/>
        <v>4.347826086956522E-5</v>
      </c>
      <c r="M630" t="b">
        <f t="shared" si="85"/>
        <v>0</v>
      </c>
      <c r="N630" t="b">
        <f t="shared" si="86"/>
        <v>0</v>
      </c>
      <c r="O630" t="s">
        <v>22</v>
      </c>
      <c r="P630">
        <f t="shared" si="87"/>
        <v>0.15217391304347827</v>
      </c>
      <c r="Q630">
        <f t="shared" si="88"/>
        <v>0.5</v>
      </c>
      <c r="R630">
        <f t="shared" si="89"/>
        <v>0.29130434782608694</v>
      </c>
    </row>
    <row r="631" spans="1:18">
      <c r="A631" t="s">
        <v>663</v>
      </c>
      <c r="B631" t="s">
        <v>25</v>
      </c>
      <c r="C631" t="str">
        <f t="shared" si="81"/>
        <v>Sales &amp; Marketing</v>
      </c>
      <c r="D631" t="s">
        <v>27</v>
      </c>
      <c r="E631" t="str">
        <f t="shared" si="82"/>
        <v>Technova</v>
      </c>
      <c r="F631">
        <v>11</v>
      </c>
      <c r="G631">
        <v>23000</v>
      </c>
      <c r="H631" s="1">
        <v>44544</v>
      </c>
      <c r="I631">
        <v>3</v>
      </c>
      <c r="J631" t="s">
        <v>21</v>
      </c>
      <c r="K631">
        <f t="shared" si="83"/>
        <v>1</v>
      </c>
      <c r="L631">
        <f t="shared" si="84"/>
        <v>4.347826086956522E-5</v>
      </c>
      <c r="M631" t="b">
        <f t="shared" si="85"/>
        <v>0</v>
      </c>
      <c r="N631" t="b">
        <f t="shared" si="86"/>
        <v>1</v>
      </c>
      <c r="O631" t="s">
        <v>22</v>
      </c>
      <c r="P631">
        <f t="shared" si="87"/>
        <v>0.15217391304347827</v>
      </c>
      <c r="Q631">
        <f t="shared" si="88"/>
        <v>0.5</v>
      </c>
      <c r="R631">
        <f t="shared" si="89"/>
        <v>0.29130434782608694</v>
      </c>
    </row>
    <row r="632" spans="1:18">
      <c r="A632" t="s">
        <v>664</v>
      </c>
      <c r="B632" t="s">
        <v>25</v>
      </c>
      <c r="C632" t="str">
        <f t="shared" si="81"/>
        <v>Sales &amp; Marketing</v>
      </c>
      <c r="D632" t="s">
        <v>27</v>
      </c>
      <c r="E632" t="str">
        <f t="shared" si="82"/>
        <v>Technova</v>
      </c>
      <c r="F632">
        <v>4</v>
      </c>
      <c r="G632">
        <v>23000</v>
      </c>
      <c r="H632" s="1">
        <v>38343</v>
      </c>
      <c r="I632">
        <v>3</v>
      </c>
      <c r="J632" t="s">
        <v>21</v>
      </c>
      <c r="K632">
        <f t="shared" si="83"/>
        <v>1</v>
      </c>
      <c r="L632">
        <f t="shared" si="84"/>
        <v>4.347826086956522E-5</v>
      </c>
      <c r="M632" t="b">
        <f t="shared" si="85"/>
        <v>0</v>
      </c>
      <c r="N632" t="b">
        <f t="shared" si="86"/>
        <v>0</v>
      </c>
      <c r="O632" t="s">
        <v>22</v>
      </c>
      <c r="P632">
        <f t="shared" si="87"/>
        <v>0.15217391304347827</v>
      </c>
      <c r="Q632">
        <f t="shared" si="88"/>
        <v>0.5</v>
      </c>
      <c r="R632">
        <f t="shared" si="89"/>
        <v>0.29130434782608694</v>
      </c>
    </row>
    <row r="633" spans="1:18">
      <c r="A633" t="s">
        <v>665</v>
      </c>
      <c r="B633" t="s">
        <v>70</v>
      </c>
      <c r="C633" t="str">
        <f t="shared" si="81"/>
        <v>Customer Experience</v>
      </c>
      <c r="D633" t="s">
        <v>20</v>
      </c>
      <c r="E633" t="str">
        <f t="shared" si="82"/>
        <v>Dataverse</v>
      </c>
      <c r="F633">
        <v>1</v>
      </c>
      <c r="G633">
        <v>69000</v>
      </c>
      <c r="H633" s="1">
        <v>41737</v>
      </c>
      <c r="I633">
        <v>3</v>
      </c>
      <c r="J633" t="s">
        <v>174</v>
      </c>
      <c r="K633">
        <f t="shared" si="83"/>
        <v>3</v>
      </c>
      <c r="L633">
        <f t="shared" si="84"/>
        <v>4.347826086956522E-5</v>
      </c>
      <c r="M633" t="b">
        <f t="shared" si="85"/>
        <v>0</v>
      </c>
      <c r="N633" t="b">
        <f t="shared" si="86"/>
        <v>0</v>
      </c>
      <c r="O633" t="s">
        <v>22</v>
      </c>
      <c r="P633">
        <f t="shared" si="87"/>
        <v>0.15217391304347827</v>
      </c>
      <c r="Q633">
        <f t="shared" si="88"/>
        <v>0.5</v>
      </c>
      <c r="R633">
        <f t="shared" si="89"/>
        <v>0.29130434782608694</v>
      </c>
    </row>
    <row r="634" spans="1:18">
      <c r="A634" t="s">
        <v>666</v>
      </c>
      <c r="B634" t="s">
        <v>60</v>
      </c>
      <c r="C634" t="str">
        <f t="shared" si="81"/>
        <v>Manufacturing and operations</v>
      </c>
      <c r="D634" t="s">
        <v>20</v>
      </c>
      <c r="E634" t="str">
        <f t="shared" si="82"/>
        <v>Dataverse</v>
      </c>
      <c r="F634">
        <v>19</v>
      </c>
      <c r="G634">
        <v>46000</v>
      </c>
      <c r="H634" s="1">
        <v>44320</v>
      </c>
      <c r="I634">
        <v>3</v>
      </c>
      <c r="J634" t="s">
        <v>57</v>
      </c>
      <c r="K634">
        <f t="shared" si="83"/>
        <v>2</v>
      </c>
      <c r="L634">
        <f t="shared" si="84"/>
        <v>4.347826086956522E-5</v>
      </c>
      <c r="M634" t="b">
        <f t="shared" si="85"/>
        <v>1</v>
      </c>
      <c r="N634" t="b">
        <f t="shared" si="86"/>
        <v>1</v>
      </c>
      <c r="O634" t="s">
        <v>22</v>
      </c>
      <c r="P634">
        <f t="shared" si="87"/>
        <v>0.15217391304347827</v>
      </c>
      <c r="Q634">
        <f t="shared" si="88"/>
        <v>0.5</v>
      </c>
      <c r="R634">
        <f t="shared" si="89"/>
        <v>0.29130434782608694</v>
      </c>
    </row>
    <row r="635" spans="1:18">
      <c r="A635" t="s">
        <v>667</v>
      </c>
      <c r="B635" t="s">
        <v>25</v>
      </c>
      <c r="C635" t="str">
        <f t="shared" si="81"/>
        <v>Sales &amp; Marketing</v>
      </c>
      <c r="D635" t="s">
        <v>20</v>
      </c>
      <c r="E635" t="str">
        <f t="shared" si="82"/>
        <v>Dataverse</v>
      </c>
      <c r="F635">
        <v>17</v>
      </c>
      <c r="G635">
        <v>23000</v>
      </c>
      <c r="H635" s="1">
        <v>44765</v>
      </c>
      <c r="I635">
        <v>3</v>
      </c>
      <c r="J635" t="s">
        <v>21</v>
      </c>
      <c r="K635">
        <f t="shared" si="83"/>
        <v>1</v>
      </c>
      <c r="L635">
        <f t="shared" si="84"/>
        <v>4.347826086956522E-5</v>
      </c>
      <c r="M635" t="b">
        <f t="shared" si="85"/>
        <v>1</v>
      </c>
      <c r="N635" t="b">
        <f t="shared" si="86"/>
        <v>1</v>
      </c>
      <c r="O635" t="s">
        <v>22</v>
      </c>
      <c r="P635">
        <f t="shared" si="87"/>
        <v>0.15217391304347827</v>
      </c>
      <c r="Q635">
        <f t="shared" si="88"/>
        <v>0.5</v>
      </c>
      <c r="R635">
        <f t="shared" si="89"/>
        <v>0.29130434782608694</v>
      </c>
    </row>
    <row r="636" spans="1:18">
      <c r="A636" t="s">
        <v>668</v>
      </c>
      <c r="B636" t="s">
        <v>67</v>
      </c>
      <c r="C636" t="str">
        <f t="shared" si="81"/>
        <v>Quality Assurance</v>
      </c>
      <c r="D636" t="s">
        <v>27</v>
      </c>
      <c r="E636" t="str">
        <f t="shared" si="82"/>
        <v>Technova</v>
      </c>
      <c r="F636">
        <v>15</v>
      </c>
      <c r="G636">
        <v>46000</v>
      </c>
      <c r="H636" s="1">
        <v>40549</v>
      </c>
      <c r="I636">
        <v>3</v>
      </c>
      <c r="J636" t="s">
        <v>57</v>
      </c>
      <c r="K636">
        <f t="shared" si="83"/>
        <v>2</v>
      </c>
      <c r="L636">
        <f t="shared" si="84"/>
        <v>4.347826086956522E-5</v>
      </c>
      <c r="M636" t="b">
        <f t="shared" si="85"/>
        <v>0</v>
      </c>
      <c r="N636" t="b">
        <f t="shared" si="86"/>
        <v>1</v>
      </c>
      <c r="O636" t="s">
        <v>22</v>
      </c>
      <c r="P636">
        <f t="shared" si="87"/>
        <v>0.15217391304347827</v>
      </c>
      <c r="Q636">
        <f t="shared" si="88"/>
        <v>0.5</v>
      </c>
      <c r="R636">
        <f t="shared" si="89"/>
        <v>0.29130434782608694</v>
      </c>
    </row>
    <row r="637" spans="1:18">
      <c r="A637" t="s">
        <v>669</v>
      </c>
      <c r="B637" t="s">
        <v>74</v>
      </c>
      <c r="C637" t="str">
        <f t="shared" si="81"/>
        <v>Human Resources</v>
      </c>
      <c r="D637" t="s">
        <v>27</v>
      </c>
      <c r="E637" t="str">
        <f t="shared" si="82"/>
        <v>Technova</v>
      </c>
      <c r="F637">
        <v>1</v>
      </c>
      <c r="G637">
        <v>37000</v>
      </c>
      <c r="H637" s="1">
        <v>39942</v>
      </c>
      <c r="I637">
        <v>2</v>
      </c>
      <c r="J637" t="s">
        <v>57</v>
      </c>
      <c r="K637">
        <f t="shared" si="83"/>
        <v>2</v>
      </c>
      <c r="L637">
        <f t="shared" si="84"/>
        <v>5.4054054054054054E-5</v>
      </c>
      <c r="M637" t="b">
        <f t="shared" si="85"/>
        <v>0</v>
      </c>
      <c r="N637" t="b">
        <f t="shared" si="86"/>
        <v>0</v>
      </c>
      <c r="O637" t="s">
        <v>22</v>
      </c>
      <c r="P637">
        <f t="shared" si="87"/>
        <v>0.31081081081081074</v>
      </c>
      <c r="Q637">
        <f t="shared" si="88"/>
        <v>0.25</v>
      </c>
      <c r="R637">
        <f t="shared" si="89"/>
        <v>0.28648648648648645</v>
      </c>
    </row>
    <row r="638" spans="1:18">
      <c r="A638" t="s">
        <v>670</v>
      </c>
      <c r="B638" t="s">
        <v>67</v>
      </c>
      <c r="C638" t="str">
        <f t="shared" si="81"/>
        <v>Quality Assurance</v>
      </c>
      <c r="D638" t="s">
        <v>27</v>
      </c>
      <c r="E638" t="str">
        <f t="shared" si="82"/>
        <v>Technova</v>
      </c>
      <c r="F638">
        <v>2</v>
      </c>
      <c r="G638">
        <v>37000</v>
      </c>
      <c r="H638" s="1">
        <v>45020</v>
      </c>
      <c r="I638">
        <v>2</v>
      </c>
      <c r="J638" t="s">
        <v>57</v>
      </c>
      <c r="K638">
        <f t="shared" si="83"/>
        <v>2</v>
      </c>
      <c r="L638">
        <f t="shared" si="84"/>
        <v>5.4054054054054054E-5</v>
      </c>
      <c r="M638" t="b">
        <f t="shared" si="85"/>
        <v>0</v>
      </c>
      <c r="N638" t="b">
        <f t="shared" si="86"/>
        <v>0</v>
      </c>
      <c r="O638" t="s">
        <v>22</v>
      </c>
      <c r="P638">
        <f t="shared" si="87"/>
        <v>0.31081081081081074</v>
      </c>
      <c r="Q638">
        <f t="shared" si="88"/>
        <v>0.25</v>
      </c>
      <c r="R638">
        <f t="shared" si="89"/>
        <v>0.28648648648648645</v>
      </c>
    </row>
    <row r="639" spans="1:18">
      <c r="A639" t="s">
        <v>671</v>
      </c>
      <c r="B639" t="s">
        <v>204</v>
      </c>
      <c r="C639" t="str">
        <f t="shared" si="81"/>
        <v>Administrative Services</v>
      </c>
      <c r="D639" t="s">
        <v>20</v>
      </c>
      <c r="E639" t="str">
        <f t="shared" si="82"/>
        <v>Dataverse</v>
      </c>
      <c r="F639">
        <v>24</v>
      </c>
      <c r="G639">
        <v>70000</v>
      </c>
      <c r="H639" s="1">
        <v>41311</v>
      </c>
      <c r="I639">
        <v>3</v>
      </c>
      <c r="J639" t="s">
        <v>174</v>
      </c>
      <c r="K639">
        <f t="shared" si="83"/>
        <v>3</v>
      </c>
      <c r="L639">
        <f t="shared" si="84"/>
        <v>4.2857142857142856E-5</v>
      </c>
      <c r="M639" t="b">
        <f t="shared" si="85"/>
        <v>1</v>
      </c>
      <c r="N639" t="b">
        <f t="shared" si="86"/>
        <v>1</v>
      </c>
      <c r="O639" t="s">
        <v>22</v>
      </c>
      <c r="P639">
        <f t="shared" si="87"/>
        <v>0.14285714285714282</v>
      </c>
      <c r="Q639">
        <f t="shared" si="88"/>
        <v>0.5</v>
      </c>
      <c r="R639">
        <f t="shared" si="89"/>
        <v>0.2857142857142857</v>
      </c>
    </row>
    <row r="640" spans="1:18">
      <c r="A640" t="s">
        <v>672</v>
      </c>
      <c r="B640" t="s">
        <v>70</v>
      </c>
      <c r="C640" t="str">
        <f t="shared" si="81"/>
        <v>Customer Experience</v>
      </c>
      <c r="D640" t="s">
        <v>27</v>
      </c>
      <c r="E640" t="str">
        <f t="shared" si="82"/>
        <v>Technova</v>
      </c>
      <c r="F640">
        <v>21</v>
      </c>
      <c r="G640">
        <v>47000</v>
      </c>
      <c r="H640" s="1">
        <v>41284</v>
      </c>
      <c r="I640">
        <v>3</v>
      </c>
      <c r="J640" t="s">
        <v>57</v>
      </c>
      <c r="K640">
        <f t="shared" si="83"/>
        <v>2</v>
      </c>
      <c r="L640">
        <f t="shared" si="84"/>
        <v>4.2553191489361704E-5</v>
      </c>
      <c r="M640" t="b">
        <f t="shared" si="85"/>
        <v>1</v>
      </c>
      <c r="N640" t="b">
        <f t="shared" si="86"/>
        <v>1</v>
      </c>
      <c r="O640" t="s">
        <v>22</v>
      </c>
      <c r="P640">
        <f t="shared" si="87"/>
        <v>0.13829787234042554</v>
      </c>
      <c r="Q640">
        <f t="shared" si="88"/>
        <v>0.5</v>
      </c>
      <c r="R640">
        <f t="shared" si="89"/>
        <v>0.28297872340425534</v>
      </c>
    </row>
    <row r="641" spans="1:18">
      <c r="A641" t="s">
        <v>673</v>
      </c>
      <c r="B641" t="s">
        <v>102</v>
      </c>
      <c r="C641" t="str">
        <f t="shared" si="81"/>
        <v>Finance</v>
      </c>
      <c r="D641" t="s">
        <v>20</v>
      </c>
      <c r="E641" t="str">
        <f t="shared" si="82"/>
        <v>Dataverse</v>
      </c>
      <c r="F641">
        <v>13</v>
      </c>
      <c r="G641">
        <v>47000</v>
      </c>
      <c r="H641" s="1">
        <v>38696</v>
      </c>
      <c r="I641">
        <v>3</v>
      </c>
      <c r="J641" t="s">
        <v>57</v>
      </c>
      <c r="K641">
        <f t="shared" si="83"/>
        <v>2</v>
      </c>
      <c r="L641">
        <f t="shared" si="84"/>
        <v>4.2553191489361704E-5</v>
      </c>
      <c r="M641" t="b">
        <f t="shared" si="85"/>
        <v>0</v>
      </c>
      <c r="N641" t="b">
        <f t="shared" si="86"/>
        <v>1</v>
      </c>
      <c r="O641" t="s">
        <v>22</v>
      </c>
      <c r="P641">
        <f t="shared" si="87"/>
        <v>0.13829787234042554</v>
      </c>
      <c r="Q641">
        <f t="shared" si="88"/>
        <v>0.5</v>
      </c>
      <c r="R641">
        <f t="shared" si="89"/>
        <v>0.28297872340425534</v>
      </c>
    </row>
    <row r="642" spans="1:18">
      <c r="A642" t="s">
        <v>674</v>
      </c>
      <c r="B642" t="s">
        <v>74</v>
      </c>
      <c r="C642" t="str">
        <f t="shared" ref="C642:C705" si="90">TRIM(B642)</f>
        <v>Human Resources</v>
      </c>
      <c r="D642" t="s">
        <v>20</v>
      </c>
      <c r="E642" t="str">
        <f t="shared" ref="E642:E705" si="91">TRIM(D642)</f>
        <v>Dataverse</v>
      </c>
      <c r="F642">
        <v>25</v>
      </c>
      <c r="G642">
        <v>47000</v>
      </c>
      <c r="H642" s="1">
        <v>38560</v>
      </c>
      <c r="I642">
        <v>3</v>
      </c>
      <c r="J642" t="s">
        <v>57</v>
      </c>
      <c r="K642">
        <f t="shared" ref="K642:K705" si="92">IF(J642="A", 3, IF(J642="B", 2, 1))</f>
        <v>2</v>
      </c>
      <c r="L642">
        <f t="shared" ref="L642:L705" si="93">K642/G642</f>
        <v>4.2553191489361704E-5</v>
      </c>
      <c r="M642" t="b">
        <f t="shared" ref="M642:M705" si="94">IF(F642&gt;15, TRUE, FALSE)</f>
        <v>1</v>
      </c>
      <c r="N642" t="b">
        <f t="shared" ref="N642:N705" si="95">IF(F642&gt;5, TRUE, FALSE)</f>
        <v>1</v>
      </c>
      <c r="O642" t="s">
        <v>22</v>
      </c>
      <c r="P642">
        <f t="shared" ref="P642:P705" si="96">(L642-MIN(L:L))/(MAX(L:L)-MIN(L:L))</f>
        <v>0.13829787234042554</v>
      </c>
      <c r="Q642">
        <f t="shared" ref="Q642:Q705" si="97">(I642-1)/4</f>
        <v>0.5</v>
      </c>
      <c r="R642">
        <f t="shared" ref="R642:R705" si="98">(0.6*P642)+(0.4*Q642)</f>
        <v>0.28297872340425534</v>
      </c>
    </row>
    <row r="643" spans="1:18">
      <c r="A643" t="s">
        <v>675</v>
      </c>
      <c r="B643" t="s">
        <v>56</v>
      </c>
      <c r="C643" t="str">
        <f t="shared" si="90"/>
        <v>IT &amp; Systems</v>
      </c>
      <c r="D643" t="s">
        <v>20</v>
      </c>
      <c r="E643" t="str">
        <f t="shared" si="91"/>
        <v>Dataverse</v>
      </c>
      <c r="F643">
        <v>21</v>
      </c>
      <c r="G643">
        <v>47000</v>
      </c>
      <c r="H643" s="1">
        <v>38351</v>
      </c>
      <c r="I643">
        <v>3</v>
      </c>
      <c r="J643" t="s">
        <v>57</v>
      </c>
      <c r="K643">
        <f t="shared" si="92"/>
        <v>2</v>
      </c>
      <c r="L643">
        <f t="shared" si="93"/>
        <v>4.2553191489361704E-5</v>
      </c>
      <c r="M643" t="b">
        <f t="shared" si="94"/>
        <v>1</v>
      </c>
      <c r="N643" t="b">
        <f t="shared" si="95"/>
        <v>1</v>
      </c>
      <c r="O643" t="s">
        <v>22</v>
      </c>
      <c r="P643">
        <f t="shared" si="96"/>
        <v>0.13829787234042554</v>
      </c>
      <c r="Q643">
        <f t="shared" si="97"/>
        <v>0.5</v>
      </c>
      <c r="R643">
        <f t="shared" si="98"/>
        <v>0.28297872340425534</v>
      </c>
    </row>
    <row r="644" spans="1:18">
      <c r="A644" t="s">
        <v>676</v>
      </c>
      <c r="B644" t="s">
        <v>56</v>
      </c>
      <c r="C644" t="str">
        <f t="shared" si="90"/>
        <v>IT &amp; Systems</v>
      </c>
      <c r="D644" t="s">
        <v>20</v>
      </c>
      <c r="E644" t="str">
        <f t="shared" si="91"/>
        <v>Dataverse</v>
      </c>
      <c r="F644">
        <v>8</v>
      </c>
      <c r="G644">
        <v>47000</v>
      </c>
      <c r="H644" s="1">
        <v>38480</v>
      </c>
      <c r="I644">
        <v>3</v>
      </c>
      <c r="J644" t="s">
        <v>57</v>
      </c>
      <c r="K644">
        <f t="shared" si="92"/>
        <v>2</v>
      </c>
      <c r="L644">
        <f t="shared" si="93"/>
        <v>4.2553191489361704E-5</v>
      </c>
      <c r="M644" t="b">
        <f t="shared" si="94"/>
        <v>0</v>
      </c>
      <c r="N644" t="b">
        <f t="shared" si="95"/>
        <v>1</v>
      </c>
      <c r="O644" t="s">
        <v>22</v>
      </c>
      <c r="P644">
        <f t="shared" si="96"/>
        <v>0.13829787234042554</v>
      </c>
      <c r="Q644">
        <f t="shared" si="97"/>
        <v>0.5</v>
      </c>
      <c r="R644">
        <f t="shared" si="98"/>
        <v>0.28297872340425534</v>
      </c>
    </row>
    <row r="645" spans="1:18">
      <c r="A645" t="s">
        <v>677</v>
      </c>
      <c r="B645" t="s">
        <v>60</v>
      </c>
      <c r="C645" t="str">
        <f t="shared" si="90"/>
        <v>Manufacturing and operations</v>
      </c>
      <c r="D645" t="s">
        <v>27</v>
      </c>
      <c r="E645" t="str">
        <f t="shared" si="91"/>
        <v>Technova</v>
      </c>
      <c r="F645">
        <v>10</v>
      </c>
      <c r="G645">
        <v>47000</v>
      </c>
      <c r="H645" s="1">
        <v>43123</v>
      </c>
      <c r="I645">
        <v>3</v>
      </c>
      <c r="J645" t="s">
        <v>57</v>
      </c>
      <c r="K645">
        <f t="shared" si="92"/>
        <v>2</v>
      </c>
      <c r="L645">
        <f t="shared" si="93"/>
        <v>4.2553191489361704E-5</v>
      </c>
      <c r="M645" t="b">
        <f t="shared" si="94"/>
        <v>0</v>
      </c>
      <c r="N645" t="b">
        <f t="shared" si="95"/>
        <v>1</v>
      </c>
      <c r="O645" t="s">
        <v>22</v>
      </c>
      <c r="P645">
        <f t="shared" si="96"/>
        <v>0.13829787234042554</v>
      </c>
      <c r="Q645">
        <f t="shared" si="97"/>
        <v>0.5</v>
      </c>
      <c r="R645">
        <f t="shared" si="98"/>
        <v>0.28297872340425534</v>
      </c>
    </row>
    <row r="646" spans="1:18">
      <c r="A646" t="s">
        <v>678</v>
      </c>
      <c r="B646" t="s">
        <v>67</v>
      </c>
      <c r="C646" t="str">
        <f t="shared" si="90"/>
        <v>Quality Assurance</v>
      </c>
      <c r="D646" t="s">
        <v>27</v>
      </c>
      <c r="E646" t="str">
        <f t="shared" si="91"/>
        <v>Technova</v>
      </c>
      <c r="F646">
        <v>18</v>
      </c>
      <c r="G646">
        <v>47000</v>
      </c>
      <c r="H646" s="1">
        <v>40814</v>
      </c>
      <c r="I646">
        <v>3</v>
      </c>
      <c r="J646" t="s">
        <v>57</v>
      </c>
      <c r="K646">
        <f t="shared" si="92"/>
        <v>2</v>
      </c>
      <c r="L646">
        <f t="shared" si="93"/>
        <v>4.2553191489361704E-5</v>
      </c>
      <c r="M646" t="b">
        <f t="shared" si="94"/>
        <v>1</v>
      </c>
      <c r="N646" t="b">
        <f t="shared" si="95"/>
        <v>1</v>
      </c>
      <c r="O646" t="s">
        <v>22</v>
      </c>
      <c r="P646">
        <f t="shared" si="96"/>
        <v>0.13829787234042554</v>
      </c>
      <c r="Q646">
        <f t="shared" si="97"/>
        <v>0.5</v>
      </c>
      <c r="R646">
        <f t="shared" si="98"/>
        <v>0.28297872340425534</v>
      </c>
    </row>
    <row r="647" spans="1:18">
      <c r="A647" t="s">
        <v>679</v>
      </c>
      <c r="B647" t="s">
        <v>70</v>
      </c>
      <c r="C647" t="str">
        <f t="shared" si="90"/>
        <v>Customer Experience</v>
      </c>
      <c r="D647" t="s">
        <v>27</v>
      </c>
      <c r="E647" t="str">
        <f t="shared" si="91"/>
        <v>Technova</v>
      </c>
      <c r="F647">
        <v>13</v>
      </c>
      <c r="G647">
        <v>31000</v>
      </c>
      <c r="H647" s="1">
        <v>39473</v>
      </c>
      <c r="I647">
        <v>1</v>
      </c>
      <c r="J647" t="s">
        <v>57</v>
      </c>
      <c r="K647">
        <f t="shared" si="92"/>
        <v>2</v>
      </c>
      <c r="L647">
        <f t="shared" si="93"/>
        <v>6.4516129032258067E-5</v>
      </c>
      <c r="M647" t="b">
        <f t="shared" si="94"/>
        <v>0</v>
      </c>
      <c r="N647" t="b">
        <f t="shared" si="95"/>
        <v>1</v>
      </c>
      <c r="O647" t="s">
        <v>22</v>
      </c>
      <c r="P647">
        <f t="shared" si="96"/>
        <v>0.46774193548387094</v>
      </c>
      <c r="Q647">
        <f t="shared" si="97"/>
        <v>0</v>
      </c>
      <c r="R647">
        <f t="shared" si="98"/>
        <v>0.28064516129032258</v>
      </c>
    </row>
    <row r="648" spans="1:18">
      <c r="A648" t="s">
        <v>680</v>
      </c>
      <c r="B648" t="s">
        <v>102</v>
      </c>
      <c r="C648" t="str">
        <f t="shared" si="90"/>
        <v>Finance</v>
      </c>
      <c r="D648" t="s">
        <v>27</v>
      </c>
      <c r="E648" t="str">
        <f t="shared" si="91"/>
        <v>Technova</v>
      </c>
      <c r="F648">
        <v>17</v>
      </c>
      <c r="G648">
        <v>31000</v>
      </c>
      <c r="H648" s="1">
        <v>45132</v>
      </c>
      <c r="I648">
        <v>1</v>
      </c>
      <c r="J648" t="s">
        <v>57</v>
      </c>
      <c r="K648">
        <f t="shared" si="92"/>
        <v>2</v>
      </c>
      <c r="L648">
        <f t="shared" si="93"/>
        <v>6.4516129032258067E-5</v>
      </c>
      <c r="M648" t="b">
        <f t="shared" si="94"/>
        <v>1</v>
      </c>
      <c r="N648" t="b">
        <f t="shared" si="95"/>
        <v>1</v>
      </c>
      <c r="O648" t="s">
        <v>22</v>
      </c>
      <c r="P648">
        <f t="shared" si="96"/>
        <v>0.46774193548387094</v>
      </c>
      <c r="Q648">
        <f t="shared" si="97"/>
        <v>0</v>
      </c>
      <c r="R648">
        <f t="shared" si="98"/>
        <v>0.28064516129032258</v>
      </c>
    </row>
    <row r="649" spans="1:18">
      <c r="A649" t="s">
        <v>681</v>
      </c>
      <c r="B649" t="s">
        <v>102</v>
      </c>
      <c r="C649" t="str">
        <f t="shared" si="90"/>
        <v>Finance</v>
      </c>
      <c r="D649" t="s">
        <v>27</v>
      </c>
      <c r="E649" t="str">
        <f t="shared" si="91"/>
        <v>Technova</v>
      </c>
      <c r="F649">
        <v>21</v>
      </c>
      <c r="G649">
        <v>31000</v>
      </c>
      <c r="H649" s="1">
        <v>40212</v>
      </c>
      <c r="I649">
        <v>1</v>
      </c>
      <c r="J649" t="s">
        <v>57</v>
      </c>
      <c r="K649">
        <f t="shared" si="92"/>
        <v>2</v>
      </c>
      <c r="L649">
        <f t="shared" si="93"/>
        <v>6.4516129032258067E-5</v>
      </c>
      <c r="M649" t="b">
        <f t="shared" si="94"/>
        <v>1</v>
      </c>
      <c r="N649" t="b">
        <f t="shared" si="95"/>
        <v>1</v>
      </c>
      <c r="O649" t="s">
        <v>22</v>
      </c>
      <c r="P649">
        <f t="shared" si="96"/>
        <v>0.46774193548387094</v>
      </c>
      <c r="Q649">
        <f t="shared" si="97"/>
        <v>0</v>
      </c>
      <c r="R649">
        <f t="shared" si="98"/>
        <v>0.28064516129032258</v>
      </c>
    </row>
    <row r="650" spans="1:18">
      <c r="A650" t="s">
        <v>682</v>
      </c>
      <c r="B650" t="s">
        <v>60</v>
      </c>
      <c r="C650" t="str">
        <f t="shared" si="90"/>
        <v>Manufacturing and operations</v>
      </c>
      <c r="D650" t="s">
        <v>27</v>
      </c>
      <c r="E650" t="str">
        <f t="shared" si="91"/>
        <v>Technova</v>
      </c>
      <c r="F650">
        <v>16</v>
      </c>
      <c r="G650">
        <v>31000</v>
      </c>
      <c r="H650" s="1">
        <v>40156</v>
      </c>
      <c r="I650">
        <v>1</v>
      </c>
      <c r="J650" t="s">
        <v>57</v>
      </c>
      <c r="K650">
        <f t="shared" si="92"/>
        <v>2</v>
      </c>
      <c r="L650">
        <f t="shared" si="93"/>
        <v>6.4516129032258067E-5</v>
      </c>
      <c r="M650" t="b">
        <f t="shared" si="94"/>
        <v>1</v>
      </c>
      <c r="N650" t="b">
        <f t="shared" si="95"/>
        <v>1</v>
      </c>
      <c r="O650" t="s">
        <v>22</v>
      </c>
      <c r="P650">
        <f t="shared" si="96"/>
        <v>0.46774193548387094</v>
      </c>
      <c r="Q650">
        <f t="shared" si="97"/>
        <v>0</v>
      </c>
      <c r="R650">
        <f t="shared" si="98"/>
        <v>0.28064516129032258</v>
      </c>
    </row>
    <row r="651" spans="1:18">
      <c r="A651" t="s">
        <v>683</v>
      </c>
      <c r="B651" t="s">
        <v>67</v>
      </c>
      <c r="C651" t="str">
        <f t="shared" si="90"/>
        <v>Quality Assurance</v>
      </c>
      <c r="D651" t="s">
        <v>20</v>
      </c>
      <c r="E651" t="str">
        <f t="shared" si="91"/>
        <v>Dataverse</v>
      </c>
      <c r="F651">
        <v>4</v>
      </c>
      <c r="G651">
        <v>31000</v>
      </c>
      <c r="H651" s="1">
        <v>44577</v>
      </c>
      <c r="I651">
        <v>1</v>
      </c>
      <c r="J651" t="s">
        <v>57</v>
      </c>
      <c r="K651">
        <f t="shared" si="92"/>
        <v>2</v>
      </c>
      <c r="L651">
        <f t="shared" si="93"/>
        <v>6.4516129032258067E-5</v>
      </c>
      <c r="M651" t="b">
        <f t="shared" si="94"/>
        <v>0</v>
      </c>
      <c r="N651" t="b">
        <f t="shared" si="95"/>
        <v>0</v>
      </c>
      <c r="O651" t="s">
        <v>22</v>
      </c>
      <c r="P651">
        <f t="shared" si="96"/>
        <v>0.46774193548387094</v>
      </c>
      <c r="Q651">
        <f t="shared" si="97"/>
        <v>0</v>
      </c>
      <c r="R651">
        <f t="shared" si="98"/>
        <v>0.28064516129032258</v>
      </c>
    </row>
    <row r="652" spans="1:18">
      <c r="A652" t="s">
        <v>684</v>
      </c>
      <c r="B652" t="s">
        <v>70</v>
      </c>
      <c r="C652" t="str">
        <f t="shared" si="90"/>
        <v>Customer Experience</v>
      </c>
      <c r="D652" t="s">
        <v>20</v>
      </c>
      <c r="E652" t="str">
        <f t="shared" si="91"/>
        <v>Dataverse</v>
      </c>
      <c r="F652">
        <v>23</v>
      </c>
      <c r="G652">
        <v>71000</v>
      </c>
      <c r="H652" s="1">
        <v>43058</v>
      </c>
      <c r="I652">
        <v>3</v>
      </c>
      <c r="J652" t="s">
        <v>174</v>
      </c>
      <c r="K652">
        <f t="shared" si="92"/>
        <v>3</v>
      </c>
      <c r="L652">
        <f t="shared" si="93"/>
        <v>4.2253521126760563E-5</v>
      </c>
      <c r="M652" t="b">
        <f t="shared" si="94"/>
        <v>1</v>
      </c>
      <c r="N652" t="b">
        <f t="shared" si="95"/>
        <v>1</v>
      </c>
      <c r="O652" t="s">
        <v>22</v>
      </c>
      <c r="P652">
        <f t="shared" si="96"/>
        <v>0.13380281690140841</v>
      </c>
      <c r="Q652">
        <f t="shared" si="97"/>
        <v>0.5</v>
      </c>
      <c r="R652">
        <f t="shared" si="98"/>
        <v>0.28028169014084503</v>
      </c>
    </row>
    <row r="653" spans="1:18">
      <c r="A653" t="s">
        <v>685</v>
      </c>
      <c r="B653" t="s">
        <v>102</v>
      </c>
      <c r="C653" t="str">
        <f t="shared" si="90"/>
        <v>Finance</v>
      </c>
      <c r="D653" t="s">
        <v>20</v>
      </c>
      <c r="E653" t="str">
        <f t="shared" si="91"/>
        <v>Dataverse</v>
      </c>
      <c r="F653">
        <v>24</v>
      </c>
      <c r="G653">
        <v>48000</v>
      </c>
      <c r="H653" s="1">
        <v>39916</v>
      </c>
      <c r="I653">
        <v>3</v>
      </c>
      <c r="J653" t="s">
        <v>57</v>
      </c>
      <c r="K653">
        <f t="shared" si="92"/>
        <v>2</v>
      </c>
      <c r="L653">
        <f t="shared" si="93"/>
        <v>4.1666666666666665E-5</v>
      </c>
      <c r="M653" t="b">
        <f t="shared" si="94"/>
        <v>1</v>
      </c>
      <c r="N653" t="b">
        <f t="shared" si="95"/>
        <v>1</v>
      </c>
      <c r="O653" t="s">
        <v>22</v>
      </c>
      <c r="P653">
        <f t="shared" si="96"/>
        <v>0.12499999999999994</v>
      </c>
      <c r="Q653">
        <f t="shared" si="97"/>
        <v>0.5</v>
      </c>
      <c r="R653">
        <f t="shared" si="98"/>
        <v>0.27499999999999997</v>
      </c>
    </row>
    <row r="654" spans="1:18">
      <c r="A654" t="s">
        <v>686</v>
      </c>
      <c r="B654" t="s">
        <v>74</v>
      </c>
      <c r="C654" t="str">
        <f t="shared" si="90"/>
        <v>Human Resources</v>
      </c>
      <c r="D654" t="s">
        <v>27</v>
      </c>
      <c r="E654" t="str">
        <f t="shared" si="91"/>
        <v>Technova</v>
      </c>
      <c r="F654">
        <v>3</v>
      </c>
      <c r="G654">
        <v>48000</v>
      </c>
      <c r="H654" s="1">
        <v>39460</v>
      </c>
      <c r="I654">
        <v>3</v>
      </c>
      <c r="J654" t="s">
        <v>57</v>
      </c>
      <c r="K654">
        <f t="shared" si="92"/>
        <v>2</v>
      </c>
      <c r="L654">
        <f t="shared" si="93"/>
        <v>4.1666666666666665E-5</v>
      </c>
      <c r="M654" t="b">
        <f t="shared" si="94"/>
        <v>0</v>
      </c>
      <c r="N654" t="b">
        <f t="shared" si="95"/>
        <v>0</v>
      </c>
      <c r="O654" t="s">
        <v>22</v>
      </c>
      <c r="P654">
        <f t="shared" si="96"/>
        <v>0.12499999999999994</v>
      </c>
      <c r="Q654">
        <f t="shared" si="97"/>
        <v>0.5</v>
      </c>
      <c r="R654">
        <f t="shared" si="98"/>
        <v>0.27499999999999997</v>
      </c>
    </row>
    <row r="655" spans="1:18">
      <c r="A655" t="s">
        <v>687</v>
      </c>
      <c r="B655" t="s">
        <v>19</v>
      </c>
      <c r="C655" t="str">
        <f t="shared" si="90"/>
        <v>Research &amp; Department</v>
      </c>
      <c r="D655" t="s">
        <v>27</v>
      </c>
      <c r="E655" t="str">
        <f t="shared" si="91"/>
        <v>Technova</v>
      </c>
      <c r="F655">
        <v>25</v>
      </c>
      <c r="G655">
        <v>24000</v>
      </c>
      <c r="H655" s="1">
        <v>38528</v>
      </c>
      <c r="I655">
        <v>3</v>
      </c>
      <c r="J655" t="s">
        <v>21</v>
      </c>
      <c r="K655">
        <f t="shared" si="92"/>
        <v>1</v>
      </c>
      <c r="L655">
        <f t="shared" si="93"/>
        <v>4.1666666666666665E-5</v>
      </c>
      <c r="M655" t="b">
        <f t="shared" si="94"/>
        <v>1</v>
      </c>
      <c r="N655" t="b">
        <f t="shared" si="95"/>
        <v>1</v>
      </c>
      <c r="O655" t="s">
        <v>22</v>
      </c>
      <c r="P655">
        <f t="shared" si="96"/>
        <v>0.12499999999999994</v>
      </c>
      <c r="Q655">
        <f t="shared" si="97"/>
        <v>0.5</v>
      </c>
      <c r="R655">
        <f t="shared" si="98"/>
        <v>0.27499999999999997</v>
      </c>
    </row>
    <row r="656" spans="1:18">
      <c r="A656" t="s">
        <v>688</v>
      </c>
      <c r="B656" t="s">
        <v>60</v>
      </c>
      <c r="C656" t="str">
        <f t="shared" si="90"/>
        <v>Manufacturing and operations</v>
      </c>
      <c r="D656" t="s">
        <v>20</v>
      </c>
      <c r="E656" t="str">
        <f t="shared" si="91"/>
        <v>Dataverse</v>
      </c>
      <c r="F656">
        <v>9</v>
      </c>
      <c r="G656">
        <v>48000</v>
      </c>
      <c r="H656" s="1">
        <v>39167</v>
      </c>
      <c r="I656">
        <v>3</v>
      </c>
      <c r="J656" t="s">
        <v>57</v>
      </c>
      <c r="K656">
        <f t="shared" si="92"/>
        <v>2</v>
      </c>
      <c r="L656">
        <f t="shared" si="93"/>
        <v>4.1666666666666665E-5</v>
      </c>
      <c r="M656" t="b">
        <f t="shared" si="94"/>
        <v>0</v>
      </c>
      <c r="N656" t="b">
        <f t="shared" si="95"/>
        <v>1</v>
      </c>
      <c r="O656" t="s">
        <v>22</v>
      </c>
      <c r="P656">
        <f t="shared" si="96"/>
        <v>0.12499999999999994</v>
      </c>
      <c r="Q656">
        <f t="shared" si="97"/>
        <v>0.5</v>
      </c>
      <c r="R656">
        <f t="shared" si="98"/>
        <v>0.27499999999999997</v>
      </c>
    </row>
    <row r="657" spans="1:18">
      <c r="A657" t="s">
        <v>689</v>
      </c>
      <c r="B657" t="s">
        <v>25</v>
      </c>
      <c r="C657" t="str">
        <f t="shared" si="90"/>
        <v>Sales &amp; Marketing</v>
      </c>
      <c r="D657" t="s">
        <v>20</v>
      </c>
      <c r="E657" t="str">
        <f t="shared" si="91"/>
        <v>Dataverse</v>
      </c>
      <c r="F657">
        <v>10</v>
      </c>
      <c r="G657">
        <v>24000</v>
      </c>
      <c r="H657" s="1">
        <v>43148</v>
      </c>
      <c r="I657">
        <v>3</v>
      </c>
      <c r="J657" t="s">
        <v>21</v>
      </c>
      <c r="K657">
        <f t="shared" si="92"/>
        <v>1</v>
      </c>
      <c r="L657">
        <f t="shared" si="93"/>
        <v>4.1666666666666665E-5</v>
      </c>
      <c r="M657" t="b">
        <f t="shared" si="94"/>
        <v>0</v>
      </c>
      <c r="N657" t="b">
        <f t="shared" si="95"/>
        <v>1</v>
      </c>
      <c r="O657" t="s">
        <v>22</v>
      </c>
      <c r="P657">
        <f t="shared" si="96"/>
        <v>0.12499999999999994</v>
      </c>
      <c r="Q657">
        <f t="shared" si="97"/>
        <v>0.5</v>
      </c>
      <c r="R657">
        <f t="shared" si="98"/>
        <v>0.27499999999999997</v>
      </c>
    </row>
    <row r="658" spans="1:18">
      <c r="A658" t="s">
        <v>690</v>
      </c>
      <c r="B658" t="s">
        <v>70</v>
      </c>
      <c r="C658" t="str">
        <f t="shared" si="90"/>
        <v>Customer Experience</v>
      </c>
      <c r="D658" t="s">
        <v>27</v>
      </c>
      <c r="E658" t="str">
        <f t="shared" si="91"/>
        <v>Technova</v>
      </c>
      <c r="F658">
        <v>14</v>
      </c>
      <c r="G658">
        <v>72000</v>
      </c>
      <c r="H658" s="1">
        <v>41336</v>
      </c>
      <c r="I658">
        <v>3</v>
      </c>
      <c r="J658" t="s">
        <v>174</v>
      </c>
      <c r="K658">
        <f t="shared" si="92"/>
        <v>3</v>
      </c>
      <c r="L658">
        <f t="shared" si="93"/>
        <v>4.1666666666666665E-5</v>
      </c>
      <c r="M658" t="b">
        <f t="shared" si="94"/>
        <v>0</v>
      </c>
      <c r="N658" t="b">
        <f t="shared" si="95"/>
        <v>1</v>
      </c>
      <c r="O658" t="s">
        <v>22</v>
      </c>
      <c r="P658">
        <f t="shared" si="96"/>
        <v>0.12499999999999994</v>
      </c>
      <c r="Q658">
        <f t="shared" si="97"/>
        <v>0.5</v>
      </c>
      <c r="R658">
        <f t="shared" si="98"/>
        <v>0.27499999999999997</v>
      </c>
    </row>
    <row r="659" spans="1:18">
      <c r="A659" t="s">
        <v>691</v>
      </c>
      <c r="B659" t="s">
        <v>60</v>
      </c>
      <c r="C659" t="str">
        <f t="shared" si="90"/>
        <v>Manufacturing and operations</v>
      </c>
      <c r="D659" t="s">
        <v>27</v>
      </c>
      <c r="E659" t="str">
        <f t="shared" si="91"/>
        <v>Technova</v>
      </c>
      <c r="F659">
        <v>25</v>
      </c>
      <c r="G659">
        <v>48000</v>
      </c>
      <c r="H659" s="1">
        <v>40502</v>
      </c>
      <c r="I659">
        <v>3</v>
      </c>
      <c r="J659" t="s">
        <v>57</v>
      </c>
      <c r="K659">
        <f t="shared" si="92"/>
        <v>2</v>
      </c>
      <c r="L659">
        <f t="shared" si="93"/>
        <v>4.1666666666666665E-5</v>
      </c>
      <c r="M659" t="b">
        <f t="shared" si="94"/>
        <v>1</v>
      </c>
      <c r="N659" t="b">
        <f t="shared" si="95"/>
        <v>1</v>
      </c>
      <c r="O659" t="s">
        <v>22</v>
      </c>
      <c r="P659">
        <f t="shared" si="96"/>
        <v>0.12499999999999994</v>
      </c>
      <c r="Q659">
        <f t="shared" si="97"/>
        <v>0.5</v>
      </c>
      <c r="R659">
        <f t="shared" si="98"/>
        <v>0.27499999999999997</v>
      </c>
    </row>
    <row r="660" spans="1:18">
      <c r="A660" t="s">
        <v>692</v>
      </c>
      <c r="B660" t="s">
        <v>60</v>
      </c>
      <c r="C660" t="str">
        <f t="shared" si="90"/>
        <v>Manufacturing and operations</v>
      </c>
      <c r="D660" t="s">
        <v>27</v>
      </c>
      <c r="E660" t="str">
        <f t="shared" si="91"/>
        <v>Technova</v>
      </c>
      <c r="F660">
        <v>23</v>
      </c>
      <c r="G660">
        <v>48000</v>
      </c>
      <c r="H660" s="1">
        <v>43083</v>
      </c>
      <c r="I660">
        <v>3</v>
      </c>
      <c r="J660" t="s">
        <v>57</v>
      </c>
      <c r="K660">
        <f t="shared" si="92"/>
        <v>2</v>
      </c>
      <c r="L660">
        <f t="shared" si="93"/>
        <v>4.1666666666666665E-5</v>
      </c>
      <c r="M660" t="b">
        <f t="shared" si="94"/>
        <v>1</v>
      </c>
      <c r="N660" t="b">
        <f t="shared" si="95"/>
        <v>1</v>
      </c>
      <c r="O660" t="s">
        <v>22</v>
      </c>
      <c r="P660">
        <f t="shared" si="96"/>
        <v>0.12499999999999994</v>
      </c>
      <c r="Q660">
        <f t="shared" si="97"/>
        <v>0.5</v>
      </c>
      <c r="R660">
        <f t="shared" si="98"/>
        <v>0.27499999999999997</v>
      </c>
    </row>
    <row r="661" spans="1:18">
      <c r="A661" t="s">
        <v>693</v>
      </c>
      <c r="B661" t="s">
        <v>60</v>
      </c>
      <c r="C661" t="str">
        <f t="shared" si="90"/>
        <v>Manufacturing and operations</v>
      </c>
      <c r="D661" t="s">
        <v>27</v>
      </c>
      <c r="E661" t="str">
        <f t="shared" si="91"/>
        <v>Technova</v>
      </c>
      <c r="F661">
        <v>9</v>
      </c>
      <c r="G661">
        <v>48000</v>
      </c>
      <c r="H661" s="1">
        <v>45399</v>
      </c>
      <c r="I661">
        <v>3</v>
      </c>
      <c r="J661" t="s">
        <v>57</v>
      </c>
      <c r="K661">
        <f t="shared" si="92"/>
        <v>2</v>
      </c>
      <c r="L661">
        <f t="shared" si="93"/>
        <v>4.1666666666666665E-5</v>
      </c>
      <c r="M661" t="b">
        <f t="shared" si="94"/>
        <v>0</v>
      </c>
      <c r="N661" t="b">
        <f t="shared" si="95"/>
        <v>1</v>
      </c>
      <c r="O661" t="s">
        <v>22</v>
      </c>
      <c r="P661">
        <f t="shared" si="96"/>
        <v>0.12499999999999994</v>
      </c>
      <c r="Q661">
        <f t="shared" si="97"/>
        <v>0.5</v>
      </c>
      <c r="R661">
        <f t="shared" si="98"/>
        <v>0.27499999999999997</v>
      </c>
    </row>
    <row r="662" spans="1:18">
      <c r="A662" t="s">
        <v>694</v>
      </c>
      <c r="B662" t="s">
        <v>25</v>
      </c>
      <c r="C662" t="str">
        <f t="shared" si="90"/>
        <v>Sales &amp; Marketing</v>
      </c>
      <c r="D662" t="s">
        <v>27</v>
      </c>
      <c r="E662" t="str">
        <f t="shared" si="91"/>
        <v>Technova</v>
      </c>
      <c r="F662">
        <v>3</v>
      </c>
      <c r="G662">
        <v>24000</v>
      </c>
      <c r="H662" s="1">
        <v>40906</v>
      </c>
      <c r="I662">
        <v>3</v>
      </c>
      <c r="J662" t="s">
        <v>21</v>
      </c>
      <c r="K662">
        <f t="shared" si="92"/>
        <v>1</v>
      </c>
      <c r="L662">
        <f t="shared" si="93"/>
        <v>4.1666666666666665E-5</v>
      </c>
      <c r="M662" t="b">
        <f t="shared" si="94"/>
        <v>0</v>
      </c>
      <c r="N662" t="b">
        <f t="shared" si="95"/>
        <v>0</v>
      </c>
      <c r="O662" t="s">
        <v>22</v>
      </c>
      <c r="P662">
        <f t="shared" si="96"/>
        <v>0.12499999999999994</v>
      </c>
      <c r="Q662">
        <f t="shared" si="97"/>
        <v>0.5</v>
      </c>
      <c r="R662">
        <f t="shared" si="98"/>
        <v>0.27499999999999997</v>
      </c>
    </row>
    <row r="663" spans="1:18">
      <c r="A663" t="s">
        <v>695</v>
      </c>
      <c r="B663" t="s">
        <v>70</v>
      </c>
      <c r="C663" t="str">
        <f t="shared" si="90"/>
        <v>Customer Experience</v>
      </c>
      <c r="D663" t="s">
        <v>20</v>
      </c>
      <c r="E663" t="str">
        <f t="shared" si="91"/>
        <v>Dataverse</v>
      </c>
      <c r="F663">
        <v>14</v>
      </c>
      <c r="G663">
        <v>72000</v>
      </c>
      <c r="H663" s="1">
        <v>43931</v>
      </c>
      <c r="I663">
        <v>3</v>
      </c>
      <c r="J663" t="s">
        <v>174</v>
      </c>
      <c r="K663">
        <f t="shared" si="92"/>
        <v>3</v>
      </c>
      <c r="L663">
        <f t="shared" si="93"/>
        <v>4.1666666666666665E-5</v>
      </c>
      <c r="M663" t="b">
        <f t="shared" si="94"/>
        <v>0</v>
      </c>
      <c r="N663" t="b">
        <f t="shared" si="95"/>
        <v>1</v>
      </c>
      <c r="O663" t="s">
        <v>22</v>
      </c>
      <c r="P663">
        <f t="shared" si="96"/>
        <v>0.12499999999999994</v>
      </c>
      <c r="Q663">
        <f t="shared" si="97"/>
        <v>0.5</v>
      </c>
      <c r="R663">
        <f t="shared" si="98"/>
        <v>0.27499999999999997</v>
      </c>
    </row>
    <row r="664" spans="1:18">
      <c r="A664" t="s">
        <v>696</v>
      </c>
      <c r="B664" t="s">
        <v>102</v>
      </c>
      <c r="C664" t="str">
        <f t="shared" si="90"/>
        <v>Finance</v>
      </c>
      <c r="D664" t="s">
        <v>27</v>
      </c>
      <c r="E664" t="str">
        <f t="shared" si="91"/>
        <v>Technova</v>
      </c>
      <c r="F664">
        <v>11</v>
      </c>
      <c r="G664">
        <v>38000</v>
      </c>
      <c r="H664" s="1">
        <v>38394</v>
      </c>
      <c r="I664">
        <v>2</v>
      </c>
      <c r="J664" t="s">
        <v>57</v>
      </c>
      <c r="K664">
        <f t="shared" si="92"/>
        <v>2</v>
      </c>
      <c r="L664">
        <f t="shared" si="93"/>
        <v>5.2631578947368424E-5</v>
      </c>
      <c r="M664" t="b">
        <f t="shared" si="94"/>
        <v>0</v>
      </c>
      <c r="N664" t="b">
        <f t="shared" si="95"/>
        <v>1</v>
      </c>
      <c r="O664" t="s">
        <v>22</v>
      </c>
      <c r="P664">
        <f t="shared" si="96"/>
        <v>0.28947368421052633</v>
      </c>
      <c r="Q664">
        <f t="shared" si="97"/>
        <v>0.25</v>
      </c>
      <c r="R664">
        <f t="shared" si="98"/>
        <v>0.27368421052631581</v>
      </c>
    </row>
    <row r="665" spans="1:18">
      <c r="A665" t="s">
        <v>697</v>
      </c>
      <c r="B665" t="s">
        <v>74</v>
      </c>
      <c r="C665" t="str">
        <f t="shared" si="90"/>
        <v>Human Resources</v>
      </c>
      <c r="D665" t="s">
        <v>20</v>
      </c>
      <c r="E665" t="str">
        <f t="shared" si="91"/>
        <v>Dataverse</v>
      </c>
      <c r="F665">
        <v>13</v>
      </c>
      <c r="G665">
        <v>38000</v>
      </c>
      <c r="H665" s="1">
        <v>41887</v>
      </c>
      <c r="I665">
        <v>2</v>
      </c>
      <c r="J665" t="s">
        <v>57</v>
      </c>
      <c r="K665">
        <f t="shared" si="92"/>
        <v>2</v>
      </c>
      <c r="L665">
        <f t="shared" si="93"/>
        <v>5.2631578947368424E-5</v>
      </c>
      <c r="M665" t="b">
        <f t="shared" si="94"/>
        <v>0</v>
      </c>
      <c r="N665" t="b">
        <f t="shared" si="95"/>
        <v>1</v>
      </c>
      <c r="O665" t="s">
        <v>22</v>
      </c>
      <c r="P665">
        <f t="shared" si="96"/>
        <v>0.28947368421052633</v>
      </c>
      <c r="Q665">
        <f t="shared" si="97"/>
        <v>0.25</v>
      </c>
      <c r="R665">
        <f t="shared" si="98"/>
        <v>0.27368421052631581</v>
      </c>
    </row>
    <row r="666" spans="1:18">
      <c r="A666" t="s">
        <v>698</v>
      </c>
      <c r="B666" t="s">
        <v>56</v>
      </c>
      <c r="C666" t="str">
        <f t="shared" si="90"/>
        <v>IT &amp; Systems</v>
      </c>
      <c r="D666" t="s">
        <v>20</v>
      </c>
      <c r="E666" t="str">
        <f t="shared" si="91"/>
        <v>Dataverse</v>
      </c>
      <c r="F666">
        <v>20</v>
      </c>
      <c r="G666">
        <v>38000</v>
      </c>
      <c r="H666" s="1">
        <v>39757</v>
      </c>
      <c r="I666">
        <v>2</v>
      </c>
      <c r="J666" t="s">
        <v>57</v>
      </c>
      <c r="K666">
        <f t="shared" si="92"/>
        <v>2</v>
      </c>
      <c r="L666">
        <f t="shared" si="93"/>
        <v>5.2631578947368424E-5</v>
      </c>
      <c r="M666" t="b">
        <f t="shared" si="94"/>
        <v>1</v>
      </c>
      <c r="N666" t="b">
        <f t="shared" si="95"/>
        <v>1</v>
      </c>
      <c r="O666" t="s">
        <v>22</v>
      </c>
      <c r="P666">
        <f t="shared" si="96"/>
        <v>0.28947368421052633</v>
      </c>
      <c r="Q666">
        <f t="shared" si="97"/>
        <v>0.25</v>
      </c>
      <c r="R666">
        <f t="shared" si="98"/>
        <v>0.27368421052631581</v>
      </c>
    </row>
    <row r="667" spans="1:18">
      <c r="A667" t="s">
        <v>699</v>
      </c>
      <c r="B667" t="s">
        <v>25</v>
      </c>
      <c r="C667" t="str">
        <f t="shared" si="90"/>
        <v>Sales &amp; Marketing</v>
      </c>
      <c r="D667" t="s">
        <v>27</v>
      </c>
      <c r="E667" t="str">
        <f t="shared" si="91"/>
        <v>Technova</v>
      </c>
      <c r="F667">
        <v>14</v>
      </c>
      <c r="G667">
        <v>19000</v>
      </c>
      <c r="H667" s="1">
        <v>39324</v>
      </c>
      <c r="I667">
        <v>2</v>
      </c>
      <c r="J667" t="s">
        <v>21</v>
      </c>
      <c r="K667">
        <f t="shared" si="92"/>
        <v>1</v>
      </c>
      <c r="L667">
        <f t="shared" si="93"/>
        <v>5.2631578947368424E-5</v>
      </c>
      <c r="M667" t="b">
        <f t="shared" si="94"/>
        <v>0</v>
      </c>
      <c r="N667" t="b">
        <f t="shared" si="95"/>
        <v>1</v>
      </c>
      <c r="O667" t="s">
        <v>22</v>
      </c>
      <c r="P667">
        <f t="shared" si="96"/>
        <v>0.28947368421052633</v>
      </c>
      <c r="Q667">
        <f t="shared" si="97"/>
        <v>0.25</v>
      </c>
      <c r="R667">
        <f t="shared" si="98"/>
        <v>0.27368421052631581</v>
      </c>
    </row>
    <row r="668" spans="1:18">
      <c r="A668" t="s">
        <v>700</v>
      </c>
      <c r="B668" t="s">
        <v>25</v>
      </c>
      <c r="C668" t="str">
        <f t="shared" si="90"/>
        <v>Sales &amp; Marketing</v>
      </c>
      <c r="D668" t="s">
        <v>27</v>
      </c>
      <c r="E668" t="str">
        <f t="shared" si="91"/>
        <v>Technova</v>
      </c>
      <c r="F668">
        <v>8</v>
      </c>
      <c r="G668">
        <v>19000</v>
      </c>
      <c r="H668" s="1">
        <v>42545</v>
      </c>
      <c r="I668">
        <v>2</v>
      </c>
      <c r="J668" t="s">
        <v>21</v>
      </c>
      <c r="K668">
        <f t="shared" si="92"/>
        <v>1</v>
      </c>
      <c r="L668">
        <f t="shared" si="93"/>
        <v>5.2631578947368424E-5</v>
      </c>
      <c r="M668" t="b">
        <f t="shared" si="94"/>
        <v>0</v>
      </c>
      <c r="N668" t="b">
        <f t="shared" si="95"/>
        <v>1</v>
      </c>
      <c r="O668" t="s">
        <v>22</v>
      </c>
      <c r="P668">
        <f t="shared" si="96"/>
        <v>0.28947368421052633</v>
      </c>
      <c r="Q668">
        <f t="shared" si="97"/>
        <v>0.25</v>
      </c>
      <c r="R668">
        <f t="shared" si="98"/>
        <v>0.27368421052631581</v>
      </c>
    </row>
    <row r="669" spans="1:18">
      <c r="A669" t="s">
        <v>701</v>
      </c>
      <c r="B669" t="s">
        <v>60</v>
      </c>
      <c r="C669" t="str">
        <f t="shared" si="90"/>
        <v>Manufacturing and operations</v>
      </c>
      <c r="D669" t="s">
        <v>20</v>
      </c>
      <c r="E669" t="str">
        <f t="shared" si="91"/>
        <v>Dataverse</v>
      </c>
      <c r="F669">
        <v>23</v>
      </c>
      <c r="G669">
        <v>38000</v>
      </c>
      <c r="H669" s="1">
        <v>39135</v>
      </c>
      <c r="I669">
        <v>2</v>
      </c>
      <c r="J669" t="s">
        <v>57</v>
      </c>
      <c r="K669">
        <f t="shared" si="92"/>
        <v>2</v>
      </c>
      <c r="L669">
        <f t="shared" si="93"/>
        <v>5.2631578947368424E-5</v>
      </c>
      <c r="M669" t="b">
        <f t="shared" si="94"/>
        <v>1</v>
      </c>
      <c r="N669" t="b">
        <f t="shared" si="95"/>
        <v>1</v>
      </c>
      <c r="O669" t="s">
        <v>22</v>
      </c>
      <c r="P669">
        <f t="shared" si="96"/>
        <v>0.28947368421052633</v>
      </c>
      <c r="Q669">
        <f t="shared" si="97"/>
        <v>0.25</v>
      </c>
      <c r="R669">
        <f t="shared" si="98"/>
        <v>0.27368421052631581</v>
      </c>
    </row>
    <row r="670" spans="1:18">
      <c r="A670" t="s">
        <v>702</v>
      </c>
      <c r="B670" t="s">
        <v>25</v>
      </c>
      <c r="C670" t="str">
        <f t="shared" si="90"/>
        <v>Sales &amp; Marketing</v>
      </c>
      <c r="D670" t="s">
        <v>20</v>
      </c>
      <c r="E670" t="str">
        <f t="shared" si="91"/>
        <v>Dataverse</v>
      </c>
      <c r="F670">
        <v>3</v>
      </c>
      <c r="G670">
        <v>19000</v>
      </c>
      <c r="H670" s="1">
        <v>42775</v>
      </c>
      <c r="I670">
        <v>2</v>
      </c>
      <c r="J670" t="s">
        <v>21</v>
      </c>
      <c r="K670">
        <f t="shared" si="92"/>
        <v>1</v>
      </c>
      <c r="L670">
        <f t="shared" si="93"/>
        <v>5.2631578947368424E-5</v>
      </c>
      <c r="M670" t="b">
        <f t="shared" si="94"/>
        <v>0</v>
      </c>
      <c r="N670" t="b">
        <f t="shared" si="95"/>
        <v>0</v>
      </c>
      <c r="O670" t="s">
        <v>22</v>
      </c>
      <c r="P670">
        <f t="shared" si="96"/>
        <v>0.28947368421052633</v>
      </c>
      <c r="Q670">
        <f t="shared" si="97"/>
        <v>0.25</v>
      </c>
      <c r="R670">
        <f t="shared" si="98"/>
        <v>0.27368421052631581</v>
      </c>
    </row>
    <row r="671" spans="1:18">
      <c r="A671" t="s">
        <v>703</v>
      </c>
      <c r="B671" t="s">
        <v>60</v>
      </c>
      <c r="C671" t="str">
        <f t="shared" si="90"/>
        <v>Manufacturing and operations</v>
      </c>
      <c r="D671" t="s">
        <v>27</v>
      </c>
      <c r="E671" t="str">
        <f t="shared" si="91"/>
        <v>Technova</v>
      </c>
      <c r="F671">
        <v>10</v>
      </c>
      <c r="G671">
        <v>38000</v>
      </c>
      <c r="H671" s="1">
        <v>41362</v>
      </c>
      <c r="I671">
        <v>2</v>
      </c>
      <c r="J671" t="s">
        <v>57</v>
      </c>
      <c r="K671">
        <f t="shared" si="92"/>
        <v>2</v>
      </c>
      <c r="L671">
        <f t="shared" si="93"/>
        <v>5.2631578947368424E-5</v>
      </c>
      <c r="M671" t="b">
        <f t="shared" si="94"/>
        <v>0</v>
      </c>
      <c r="N671" t="b">
        <f t="shared" si="95"/>
        <v>1</v>
      </c>
      <c r="O671" t="s">
        <v>22</v>
      </c>
      <c r="P671">
        <f t="shared" si="96"/>
        <v>0.28947368421052633</v>
      </c>
      <c r="Q671">
        <f t="shared" si="97"/>
        <v>0.25</v>
      </c>
      <c r="R671">
        <f t="shared" si="98"/>
        <v>0.27368421052631581</v>
      </c>
    </row>
    <row r="672" spans="1:18">
      <c r="A672" t="s">
        <v>704</v>
      </c>
      <c r="B672" t="s">
        <v>25</v>
      </c>
      <c r="C672" t="str">
        <f t="shared" si="90"/>
        <v>Sales &amp; Marketing</v>
      </c>
      <c r="D672" t="s">
        <v>27</v>
      </c>
      <c r="E672" t="str">
        <f t="shared" si="91"/>
        <v>Technova</v>
      </c>
      <c r="F672">
        <v>21</v>
      </c>
      <c r="G672">
        <v>19000</v>
      </c>
      <c r="H672" s="1">
        <v>43495</v>
      </c>
      <c r="I672">
        <v>2</v>
      </c>
      <c r="J672" t="s">
        <v>21</v>
      </c>
      <c r="K672">
        <f t="shared" si="92"/>
        <v>1</v>
      </c>
      <c r="L672">
        <f t="shared" si="93"/>
        <v>5.2631578947368424E-5</v>
      </c>
      <c r="M672" t="b">
        <f t="shared" si="94"/>
        <v>1</v>
      </c>
      <c r="N672" t="b">
        <f t="shared" si="95"/>
        <v>1</v>
      </c>
      <c r="O672" t="s">
        <v>22</v>
      </c>
      <c r="P672">
        <f t="shared" si="96"/>
        <v>0.28947368421052633</v>
      </c>
      <c r="Q672">
        <f t="shared" si="97"/>
        <v>0.25</v>
      </c>
      <c r="R672">
        <f t="shared" si="98"/>
        <v>0.27368421052631581</v>
      </c>
    </row>
    <row r="673" spans="1:18">
      <c r="A673" t="s">
        <v>705</v>
      </c>
      <c r="B673" t="s">
        <v>60</v>
      </c>
      <c r="C673" t="str">
        <f t="shared" si="90"/>
        <v>Manufacturing and operations</v>
      </c>
      <c r="D673" t="s">
        <v>20</v>
      </c>
      <c r="E673" t="str">
        <f t="shared" si="91"/>
        <v>Dataverse</v>
      </c>
      <c r="F673">
        <v>19</v>
      </c>
      <c r="G673">
        <v>38000</v>
      </c>
      <c r="H673" s="1">
        <v>38416</v>
      </c>
      <c r="I673">
        <v>2</v>
      </c>
      <c r="J673" t="s">
        <v>57</v>
      </c>
      <c r="K673">
        <f t="shared" si="92"/>
        <v>2</v>
      </c>
      <c r="L673">
        <f t="shared" si="93"/>
        <v>5.2631578947368424E-5</v>
      </c>
      <c r="M673" t="b">
        <f t="shared" si="94"/>
        <v>1</v>
      </c>
      <c r="N673" t="b">
        <f t="shared" si="95"/>
        <v>1</v>
      </c>
      <c r="O673" t="s">
        <v>22</v>
      </c>
      <c r="P673">
        <f t="shared" si="96"/>
        <v>0.28947368421052633</v>
      </c>
      <c r="Q673">
        <f t="shared" si="97"/>
        <v>0.25</v>
      </c>
      <c r="R673">
        <f t="shared" si="98"/>
        <v>0.27368421052631581</v>
      </c>
    </row>
    <row r="674" spans="1:18">
      <c r="A674" t="s">
        <v>706</v>
      </c>
      <c r="B674" t="s">
        <v>67</v>
      </c>
      <c r="C674" t="str">
        <f t="shared" si="90"/>
        <v>Quality Assurance</v>
      </c>
      <c r="D674" t="s">
        <v>20</v>
      </c>
      <c r="E674" t="str">
        <f t="shared" si="91"/>
        <v>Dataverse</v>
      </c>
      <c r="F674">
        <v>20</v>
      </c>
      <c r="G674">
        <v>38000</v>
      </c>
      <c r="H674" s="1">
        <v>38574</v>
      </c>
      <c r="I674">
        <v>2</v>
      </c>
      <c r="J674" t="s">
        <v>57</v>
      </c>
      <c r="K674">
        <f t="shared" si="92"/>
        <v>2</v>
      </c>
      <c r="L674">
        <f t="shared" si="93"/>
        <v>5.2631578947368424E-5</v>
      </c>
      <c r="M674" t="b">
        <f t="shared" si="94"/>
        <v>1</v>
      </c>
      <c r="N674" t="b">
        <f t="shared" si="95"/>
        <v>1</v>
      </c>
      <c r="O674" t="s">
        <v>22</v>
      </c>
      <c r="P674">
        <f t="shared" si="96"/>
        <v>0.28947368421052633</v>
      </c>
      <c r="Q674">
        <f t="shared" si="97"/>
        <v>0.25</v>
      </c>
      <c r="R674">
        <f t="shared" si="98"/>
        <v>0.27368421052631581</v>
      </c>
    </row>
    <row r="675" spans="1:18">
      <c r="A675" t="s">
        <v>707</v>
      </c>
      <c r="B675" t="s">
        <v>70</v>
      </c>
      <c r="C675" t="str">
        <f t="shared" si="90"/>
        <v>Customer Experience</v>
      </c>
      <c r="D675" t="s">
        <v>27</v>
      </c>
      <c r="E675" t="str">
        <f t="shared" si="91"/>
        <v>Technova</v>
      </c>
      <c r="F675">
        <v>15</v>
      </c>
      <c r="G675">
        <v>73000</v>
      </c>
      <c r="H675" s="1">
        <v>44238</v>
      </c>
      <c r="I675">
        <v>3</v>
      </c>
      <c r="J675" t="s">
        <v>174</v>
      </c>
      <c r="K675">
        <f t="shared" si="92"/>
        <v>3</v>
      </c>
      <c r="L675">
        <f t="shared" si="93"/>
        <v>4.1095890410958905E-5</v>
      </c>
      <c r="M675" t="b">
        <f t="shared" si="94"/>
        <v>0</v>
      </c>
      <c r="N675" t="b">
        <f t="shared" si="95"/>
        <v>1</v>
      </c>
      <c r="O675" t="s">
        <v>22</v>
      </c>
      <c r="P675">
        <f t="shared" si="96"/>
        <v>0.11643835616438356</v>
      </c>
      <c r="Q675">
        <f t="shared" si="97"/>
        <v>0.5</v>
      </c>
      <c r="R675">
        <f t="shared" si="98"/>
        <v>0.26986301369863014</v>
      </c>
    </row>
    <row r="676" spans="1:18">
      <c r="A676" t="s">
        <v>708</v>
      </c>
      <c r="B676" t="s">
        <v>102</v>
      </c>
      <c r="C676" t="str">
        <f t="shared" si="90"/>
        <v>Finance</v>
      </c>
      <c r="D676" t="s">
        <v>20</v>
      </c>
      <c r="E676" t="str">
        <f t="shared" si="91"/>
        <v>Dataverse</v>
      </c>
      <c r="F676">
        <v>5</v>
      </c>
      <c r="G676">
        <v>49000</v>
      </c>
      <c r="H676" s="1">
        <v>42410</v>
      </c>
      <c r="I676">
        <v>3</v>
      </c>
      <c r="J676" t="s">
        <v>57</v>
      </c>
      <c r="K676">
        <f t="shared" si="92"/>
        <v>2</v>
      </c>
      <c r="L676">
        <f t="shared" si="93"/>
        <v>4.0816326530612245E-5</v>
      </c>
      <c r="M676" t="b">
        <f t="shared" si="94"/>
        <v>0</v>
      </c>
      <c r="N676" t="b">
        <f t="shared" si="95"/>
        <v>0</v>
      </c>
      <c r="O676" t="s">
        <v>22</v>
      </c>
      <c r="P676">
        <f t="shared" si="96"/>
        <v>0.11224489795918365</v>
      </c>
      <c r="Q676">
        <f t="shared" si="97"/>
        <v>0.5</v>
      </c>
      <c r="R676">
        <f t="shared" si="98"/>
        <v>0.26734693877551019</v>
      </c>
    </row>
    <row r="677" spans="1:18">
      <c r="A677" t="s">
        <v>709</v>
      </c>
      <c r="B677" t="s">
        <v>56</v>
      </c>
      <c r="C677" t="str">
        <f t="shared" si="90"/>
        <v>IT &amp; Systems</v>
      </c>
      <c r="D677" t="s">
        <v>27</v>
      </c>
      <c r="E677" t="str">
        <f t="shared" si="91"/>
        <v>Technova</v>
      </c>
      <c r="F677">
        <v>6</v>
      </c>
      <c r="G677">
        <v>49000</v>
      </c>
      <c r="H677" s="1">
        <v>39859</v>
      </c>
      <c r="I677">
        <v>3</v>
      </c>
      <c r="J677" t="s">
        <v>57</v>
      </c>
      <c r="K677">
        <f t="shared" si="92"/>
        <v>2</v>
      </c>
      <c r="L677">
        <f t="shared" si="93"/>
        <v>4.0816326530612245E-5</v>
      </c>
      <c r="M677" t="b">
        <f t="shared" si="94"/>
        <v>0</v>
      </c>
      <c r="N677" t="b">
        <f t="shared" si="95"/>
        <v>1</v>
      </c>
      <c r="O677" t="s">
        <v>22</v>
      </c>
      <c r="P677">
        <f t="shared" si="96"/>
        <v>0.11224489795918365</v>
      </c>
      <c r="Q677">
        <f t="shared" si="97"/>
        <v>0.5</v>
      </c>
      <c r="R677">
        <f t="shared" si="98"/>
        <v>0.26734693877551019</v>
      </c>
    </row>
    <row r="678" spans="1:18">
      <c r="A678" t="s">
        <v>710</v>
      </c>
      <c r="B678" t="s">
        <v>56</v>
      </c>
      <c r="C678" t="str">
        <f t="shared" si="90"/>
        <v>IT &amp; Systems</v>
      </c>
      <c r="D678" t="s">
        <v>20</v>
      </c>
      <c r="E678" t="str">
        <f t="shared" si="91"/>
        <v>Dataverse</v>
      </c>
      <c r="F678">
        <v>19</v>
      </c>
      <c r="G678">
        <v>49000</v>
      </c>
      <c r="H678" s="1">
        <v>39065</v>
      </c>
      <c r="I678">
        <v>3</v>
      </c>
      <c r="J678" t="s">
        <v>57</v>
      </c>
      <c r="K678">
        <f t="shared" si="92"/>
        <v>2</v>
      </c>
      <c r="L678">
        <f t="shared" si="93"/>
        <v>4.0816326530612245E-5</v>
      </c>
      <c r="M678" t="b">
        <f t="shared" si="94"/>
        <v>1</v>
      </c>
      <c r="N678" t="b">
        <f t="shared" si="95"/>
        <v>1</v>
      </c>
      <c r="O678" t="s">
        <v>22</v>
      </c>
      <c r="P678">
        <f t="shared" si="96"/>
        <v>0.11224489795918365</v>
      </c>
      <c r="Q678">
        <f t="shared" si="97"/>
        <v>0.5</v>
      </c>
      <c r="R678">
        <f t="shared" si="98"/>
        <v>0.26734693877551019</v>
      </c>
    </row>
    <row r="679" spans="1:18">
      <c r="A679" t="s">
        <v>711</v>
      </c>
      <c r="B679" t="s">
        <v>60</v>
      </c>
      <c r="C679" t="str">
        <f t="shared" si="90"/>
        <v>Manufacturing and operations</v>
      </c>
      <c r="D679" t="s">
        <v>20</v>
      </c>
      <c r="E679" t="str">
        <f t="shared" si="91"/>
        <v>Dataverse</v>
      </c>
      <c r="F679">
        <v>7</v>
      </c>
      <c r="G679">
        <v>49000</v>
      </c>
      <c r="H679" s="1">
        <v>38600</v>
      </c>
      <c r="I679">
        <v>3</v>
      </c>
      <c r="J679" t="s">
        <v>57</v>
      </c>
      <c r="K679">
        <f t="shared" si="92"/>
        <v>2</v>
      </c>
      <c r="L679">
        <f t="shared" si="93"/>
        <v>4.0816326530612245E-5</v>
      </c>
      <c r="M679" t="b">
        <f t="shared" si="94"/>
        <v>0</v>
      </c>
      <c r="N679" t="b">
        <f t="shared" si="95"/>
        <v>1</v>
      </c>
      <c r="O679" t="s">
        <v>22</v>
      </c>
      <c r="P679">
        <f t="shared" si="96"/>
        <v>0.11224489795918365</v>
      </c>
      <c r="Q679">
        <f t="shared" si="97"/>
        <v>0.5</v>
      </c>
      <c r="R679">
        <f t="shared" si="98"/>
        <v>0.26734693877551019</v>
      </c>
    </row>
    <row r="680" spans="1:18">
      <c r="A680" t="s">
        <v>712</v>
      </c>
      <c r="B680" t="s">
        <v>67</v>
      </c>
      <c r="C680" t="str">
        <f t="shared" si="90"/>
        <v>Quality Assurance</v>
      </c>
      <c r="D680" t="s">
        <v>27</v>
      </c>
      <c r="E680" t="str">
        <f t="shared" si="91"/>
        <v>Technova</v>
      </c>
      <c r="F680">
        <v>11</v>
      </c>
      <c r="G680">
        <v>49000</v>
      </c>
      <c r="H680" s="1">
        <v>45018</v>
      </c>
      <c r="I680">
        <v>3</v>
      </c>
      <c r="J680" t="s">
        <v>57</v>
      </c>
      <c r="K680">
        <f t="shared" si="92"/>
        <v>2</v>
      </c>
      <c r="L680">
        <f t="shared" si="93"/>
        <v>4.0816326530612245E-5</v>
      </c>
      <c r="M680" t="b">
        <f t="shared" si="94"/>
        <v>0</v>
      </c>
      <c r="N680" t="b">
        <f t="shared" si="95"/>
        <v>1</v>
      </c>
      <c r="O680" t="s">
        <v>22</v>
      </c>
      <c r="P680">
        <f t="shared" si="96"/>
        <v>0.11224489795918365</v>
      </c>
      <c r="Q680">
        <f t="shared" si="97"/>
        <v>0.5</v>
      </c>
      <c r="R680">
        <f t="shared" si="98"/>
        <v>0.26734693877551019</v>
      </c>
    </row>
    <row r="681" spans="1:18">
      <c r="A681" t="s">
        <v>713</v>
      </c>
      <c r="B681" t="s">
        <v>70</v>
      </c>
      <c r="C681" t="str">
        <f t="shared" si="90"/>
        <v>Customer Experience</v>
      </c>
      <c r="D681" t="s">
        <v>20</v>
      </c>
      <c r="E681" t="str">
        <f t="shared" si="91"/>
        <v>Dataverse</v>
      </c>
      <c r="F681">
        <v>3</v>
      </c>
      <c r="G681">
        <v>74000</v>
      </c>
      <c r="H681" s="1">
        <v>42444</v>
      </c>
      <c r="I681">
        <v>3</v>
      </c>
      <c r="J681" t="s">
        <v>174</v>
      </c>
      <c r="K681">
        <f t="shared" si="92"/>
        <v>3</v>
      </c>
      <c r="L681">
        <f t="shared" si="93"/>
        <v>4.0540540540540538E-5</v>
      </c>
      <c r="M681" t="b">
        <f t="shared" si="94"/>
        <v>0</v>
      </c>
      <c r="N681" t="b">
        <f t="shared" si="95"/>
        <v>0</v>
      </c>
      <c r="O681" t="s">
        <v>22</v>
      </c>
      <c r="P681">
        <f t="shared" si="96"/>
        <v>0.10810810810810804</v>
      </c>
      <c r="Q681">
        <f t="shared" si="97"/>
        <v>0.5</v>
      </c>
      <c r="R681">
        <f t="shared" si="98"/>
        <v>0.26486486486486482</v>
      </c>
    </row>
    <row r="682" spans="1:18">
      <c r="A682" t="s">
        <v>714</v>
      </c>
      <c r="B682" t="s">
        <v>70</v>
      </c>
      <c r="C682" t="str">
        <f t="shared" si="90"/>
        <v>Customer Experience</v>
      </c>
      <c r="D682" t="s">
        <v>20</v>
      </c>
      <c r="E682" t="str">
        <f t="shared" si="91"/>
        <v>Dataverse</v>
      </c>
      <c r="F682">
        <v>5</v>
      </c>
      <c r="G682">
        <v>32000</v>
      </c>
      <c r="H682" s="1">
        <v>38913</v>
      </c>
      <c r="I682">
        <v>1</v>
      </c>
      <c r="J682" t="s">
        <v>57</v>
      </c>
      <c r="K682">
        <f t="shared" si="92"/>
        <v>2</v>
      </c>
      <c r="L682">
        <f t="shared" si="93"/>
        <v>6.2500000000000001E-5</v>
      </c>
      <c r="M682" t="b">
        <f t="shared" si="94"/>
        <v>0</v>
      </c>
      <c r="N682" t="b">
        <f t="shared" si="95"/>
        <v>0</v>
      </c>
      <c r="O682" t="s">
        <v>22</v>
      </c>
      <c r="P682">
        <f t="shared" si="96"/>
        <v>0.4375</v>
      </c>
      <c r="Q682">
        <f t="shared" si="97"/>
        <v>0</v>
      </c>
      <c r="R682">
        <f t="shared" si="98"/>
        <v>0.26250000000000001</v>
      </c>
    </row>
    <row r="683" spans="1:18">
      <c r="A683" t="s">
        <v>715</v>
      </c>
      <c r="B683" t="s">
        <v>19</v>
      </c>
      <c r="C683" t="str">
        <f t="shared" si="90"/>
        <v>Research &amp; Department</v>
      </c>
      <c r="D683" t="s">
        <v>20</v>
      </c>
      <c r="E683" t="str">
        <f t="shared" si="91"/>
        <v>Dataverse</v>
      </c>
      <c r="F683">
        <v>25</v>
      </c>
      <c r="G683">
        <v>16000</v>
      </c>
      <c r="H683" s="1">
        <v>39858</v>
      </c>
      <c r="I683">
        <v>1</v>
      </c>
      <c r="J683" t="s">
        <v>21</v>
      </c>
      <c r="K683">
        <f t="shared" si="92"/>
        <v>1</v>
      </c>
      <c r="L683">
        <f t="shared" si="93"/>
        <v>6.2500000000000001E-5</v>
      </c>
      <c r="M683" t="b">
        <f t="shared" si="94"/>
        <v>1</v>
      </c>
      <c r="N683" t="b">
        <f t="shared" si="95"/>
        <v>1</v>
      </c>
      <c r="O683" t="s">
        <v>22</v>
      </c>
      <c r="P683">
        <f t="shared" si="96"/>
        <v>0.4375</v>
      </c>
      <c r="Q683">
        <f t="shared" si="97"/>
        <v>0</v>
      </c>
      <c r="R683">
        <f t="shared" si="98"/>
        <v>0.26250000000000001</v>
      </c>
    </row>
    <row r="684" spans="1:18">
      <c r="A684" t="s">
        <v>716</v>
      </c>
      <c r="B684" t="s">
        <v>56</v>
      </c>
      <c r="C684" t="str">
        <f t="shared" si="90"/>
        <v>IT &amp; Systems</v>
      </c>
      <c r="D684" t="s">
        <v>27</v>
      </c>
      <c r="E684" t="str">
        <f t="shared" si="91"/>
        <v>Technova</v>
      </c>
      <c r="F684">
        <v>18</v>
      </c>
      <c r="G684">
        <v>32000</v>
      </c>
      <c r="H684" s="1">
        <v>41347</v>
      </c>
      <c r="I684">
        <v>1</v>
      </c>
      <c r="J684" t="s">
        <v>57</v>
      </c>
      <c r="K684">
        <f t="shared" si="92"/>
        <v>2</v>
      </c>
      <c r="L684">
        <f t="shared" si="93"/>
        <v>6.2500000000000001E-5</v>
      </c>
      <c r="M684" t="b">
        <f t="shared" si="94"/>
        <v>1</v>
      </c>
      <c r="N684" t="b">
        <f t="shared" si="95"/>
        <v>1</v>
      </c>
      <c r="O684" t="s">
        <v>22</v>
      </c>
      <c r="P684">
        <f t="shared" si="96"/>
        <v>0.4375</v>
      </c>
      <c r="Q684">
        <f t="shared" si="97"/>
        <v>0</v>
      </c>
      <c r="R684">
        <f t="shared" si="98"/>
        <v>0.26250000000000001</v>
      </c>
    </row>
    <row r="685" spans="1:18">
      <c r="A685" t="s">
        <v>717</v>
      </c>
      <c r="B685" t="s">
        <v>56</v>
      </c>
      <c r="C685" t="str">
        <f t="shared" si="90"/>
        <v>IT &amp; Systems</v>
      </c>
      <c r="D685" t="s">
        <v>27</v>
      </c>
      <c r="E685" t="str">
        <f t="shared" si="91"/>
        <v>Technova</v>
      </c>
      <c r="F685">
        <v>25</v>
      </c>
      <c r="G685">
        <v>32000</v>
      </c>
      <c r="H685" s="1">
        <v>38965</v>
      </c>
      <c r="I685">
        <v>1</v>
      </c>
      <c r="J685" t="s">
        <v>57</v>
      </c>
      <c r="K685">
        <f t="shared" si="92"/>
        <v>2</v>
      </c>
      <c r="L685">
        <f t="shared" si="93"/>
        <v>6.2500000000000001E-5</v>
      </c>
      <c r="M685" t="b">
        <f t="shared" si="94"/>
        <v>1</v>
      </c>
      <c r="N685" t="b">
        <f t="shared" si="95"/>
        <v>1</v>
      </c>
      <c r="O685" t="s">
        <v>22</v>
      </c>
      <c r="P685">
        <f t="shared" si="96"/>
        <v>0.4375</v>
      </c>
      <c r="Q685">
        <f t="shared" si="97"/>
        <v>0</v>
      </c>
      <c r="R685">
        <f t="shared" si="98"/>
        <v>0.26250000000000001</v>
      </c>
    </row>
    <row r="686" spans="1:18">
      <c r="A686" t="s">
        <v>718</v>
      </c>
      <c r="B686" t="s">
        <v>56</v>
      </c>
      <c r="C686" t="str">
        <f t="shared" si="90"/>
        <v>IT &amp; Systems</v>
      </c>
      <c r="D686" t="s">
        <v>20</v>
      </c>
      <c r="E686" t="str">
        <f t="shared" si="91"/>
        <v>Dataverse</v>
      </c>
      <c r="F686">
        <v>9</v>
      </c>
      <c r="G686">
        <v>32000</v>
      </c>
      <c r="H686" s="1">
        <v>41780</v>
      </c>
      <c r="I686">
        <v>1</v>
      </c>
      <c r="J686" t="s">
        <v>57</v>
      </c>
      <c r="K686">
        <f t="shared" si="92"/>
        <v>2</v>
      </c>
      <c r="L686">
        <f t="shared" si="93"/>
        <v>6.2500000000000001E-5</v>
      </c>
      <c r="M686" t="b">
        <f t="shared" si="94"/>
        <v>0</v>
      </c>
      <c r="N686" t="b">
        <f t="shared" si="95"/>
        <v>1</v>
      </c>
      <c r="O686" t="s">
        <v>22</v>
      </c>
      <c r="P686">
        <f t="shared" si="96"/>
        <v>0.4375</v>
      </c>
      <c r="Q686">
        <f t="shared" si="97"/>
        <v>0</v>
      </c>
      <c r="R686">
        <f t="shared" si="98"/>
        <v>0.26250000000000001</v>
      </c>
    </row>
    <row r="687" spans="1:18">
      <c r="A687" t="s">
        <v>719</v>
      </c>
      <c r="B687" t="s">
        <v>60</v>
      </c>
      <c r="C687" t="str">
        <f t="shared" si="90"/>
        <v>Manufacturing and operations</v>
      </c>
      <c r="D687" t="s">
        <v>20</v>
      </c>
      <c r="E687" t="str">
        <f t="shared" si="91"/>
        <v>Dataverse</v>
      </c>
      <c r="F687">
        <v>7</v>
      </c>
      <c r="G687">
        <v>32000</v>
      </c>
      <c r="H687" s="1">
        <v>38794</v>
      </c>
      <c r="I687">
        <v>1</v>
      </c>
      <c r="J687" t="s">
        <v>57</v>
      </c>
      <c r="K687">
        <f t="shared" si="92"/>
        <v>2</v>
      </c>
      <c r="L687">
        <f t="shared" si="93"/>
        <v>6.2500000000000001E-5</v>
      </c>
      <c r="M687" t="b">
        <f t="shared" si="94"/>
        <v>0</v>
      </c>
      <c r="N687" t="b">
        <f t="shared" si="95"/>
        <v>1</v>
      </c>
      <c r="O687" t="s">
        <v>22</v>
      </c>
      <c r="P687">
        <f t="shared" si="96"/>
        <v>0.4375</v>
      </c>
      <c r="Q687">
        <f t="shared" si="97"/>
        <v>0</v>
      </c>
      <c r="R687">
        <f t="shared" si="98"/>
        <v>0.26250000000000001</v>
      </c>
    </row>
    <row r="688" spans="1:18">
      <c r="A688" t="s">
        <v>720</v>
      </c>
      <c r="B688" t="s">
        <v>60</v>
      </c>
      <c r="C688" t="str">
        <f t="shared" si="90"/>
        <v>Manufacturing and operations</v>
      </c>
      <c r="D688" t="s">
        <v>20</v>
      </c>
      <c r="E688" t="str">
        <f t="shared" si="91"/>
        <v>Dataverse</v>
      </c>
      <c r="F688">
        <v>9</v>
      </c>
      <c r="G688">
        <v>32000</v>
      </c>
      <c r="H688" s="1">
        <v>38689</v>
      </c>
      <c r="I688">
        <v>1</v>
      </c>
      <c r="J688" t="s">
        <v>57</v>
      </c>
      <c r="K688">
        <f t="shared" si="92"/>
        <v>2</v>
      </c>
      <c r="L688">
        <f t="shared" si="93"/>
        <v>6.2500000000000001E-5</v>
      </c>
      <c r="M688" t="b">
        <f t="shared" si="94"/>
        <v>0</v>
      </c>
      <c r="N688" t="b">
        <f t="shared" si="95"/>
        <v>1</v>
      </c>
      <c r="O688" t="s">
        <v>22</v>
      </c>
      <c r="P688">
        <f t="shared" si="96"/>
        <v>0.4375</v>
      </c>
      <c r="Q688">
        <f t="shared" si="97"/>
        <v>0</v>
      </c>
      <c r="R688">
        <f t="shared" si="98"/>
        <v>0.26250000000000001</v>
      </c>
    </row>
    <row r="689" spans="1:18">
      <c r="A689" t="s">
        <v>721</v>
      </c>
      <c r="B689" t="s">
        <v>25</v>
      </c>
      <c r="C689" t="str">
        <f t="shared" si="90"/>
        <v>Sales &amp; Marketing</v>
      </c>
      <c r="D689" t="s">
        <v>27</v>
      </c>
      <c r="E689" t="str">
        <f t="shared" si="91"/>
        <v>Technova</v>
      </c>
      <c r="F689">
        <v>19</v>
      </c>
      <c r="G689">
        <v>16000</v>
      </c>
      <c r="H689" s="1">
        <v>38975</v>
      </c>
      <c r="I689">
        <v>1</v>
      </c>
      <c r="J689" t="s">
        <v>21</v>
      </c>
      <c r="K689">
        <f t="shared" si="92"/>
        <v>1</v>
      </c>
      <c r="L689">
        <f t="shared" si="93"/>
        <v>6.2500000000000001E-5</v>
      </c>
      <c r="M689" t="b">
        <f t="shared" si="94"/>
        <v>1</v>
      </c>
      <c r="N689" t="b">
        <f t="shared" si="95"/>
        <v>1</v>
      </c>
      <c r="O689" t="s">
        <v>22</v>
      </c>
      <c r="P689">
        <f t="shared" si="96"/>
        <v>0.4375</v>
      </c>
      <c r="Q689">
        <f t="shared" si="97"/>
        <v>0</v>
      </c>
      <c r="R689">
        <f t="shared" si="98"/>
        <v>0.26250000000000001</v>
      </c>
    </row>
    <row r="690" spans="1:18">
      <c r="A690" t="s">
        <v>722</v>
      </c>
      <c r="B690" t="s">
        <v>67</v>
      </c>
      <c r="C690" t="str">
        <f t="shared" si="90"/>
        <v>Quality Assurance</v>
      </c>
      <c r="D690" t="s">
        <v>20</v>
      </c>
      <c r="E690" t="str">
        <f t="shared" si="91"/>
        <v>Dataverse</v>
      </c>
      <c r="F690">
        <v>2</v>
      </c>
      <c r="G690">
        <v>32000</v>
      </c>
      <c r="H690" s="1">
        <v>39541</v>
      </c>
      <c r="I690">
        <v>1</v>
      </c>
      <c r="J690" t="s">
        <v>57</v>
      </c>
      <c r="K690">
        <f t="shared" si="92"/>
        <v>2</v>
      </c>
      <c r="L690">
        <f t="shared" si="93"/>
        <v>6.2500000000000001E-5</v>
      </c>
      <c r="M690" t="b">
        <f t="shared" si="94"/>
        <v>0</v>
      </c>
      <c r="N690" t="b">
        <f t="shared" si="95"/>
        <v>0</v>
      </c>
      <c r="O690" t="s">
        <v>22</v>
      </c>
      <c r="P690">
        <f t="shared" si="96"/>
        <v>0.4375</v>
      </c>
      <c r="Q690">
        <f t="shared" si="97"/>
        <v>0</v>
      </c>
      <c r="R690">
        <f t="shared" si="98"/>
        <v>0.26250000000000001</v>
      </c>
    </row>
    <row r="691" spans="1:18">
      <c r="A691" t="s">
        <v>723</v>
      </c>
      <c r="B691" t="s">
        <v>102</v>
      </c>
      <c r="C691" t="str">
        <f t="shared" si="90"/>
        <v>Finance</v>
      </c>
      <c r="D691" t="s">
        <v>27</v>
      </c>
      <c r="E691" t="str">
        <f t="shared" si="91"/>
        <v>Technova</v>
      </c>
      <c r="F691">
        <v>6</v>
      </c>
      <c r="G691">
        <v>39000</v>
      </c>
      <c r="H691" s="1">
        <v>39694</v>
      </c>
      <c r="I691">
        <v>2</v>
      </c>
      <c r="J691" t="s">
        <v>57</v>
      </c>
      <c r="K691">
        <f t="shared" si="92"/>
        <v>2</v>
      </c>
      <c r="L691">
        <f t="shared" si="93"/>
        <v>5.1282051282051279E-5</v>
      </c>
      <c r="M691" t="b">
        <f t="shared" si="94"/>
        <v>0</v>
      </c>
      <c r="N691" t="b">
        <f t="shared" si="95"/>
        <v>1</v>
      </c>
      <c r="O691" t="s">
        <v>22</v>
      </c>
      <c r="P691">
        <f t="shared" si="96"/>
        <v>0.26923076923076916</v>
      </c>
      <c r="Q691">
        <f t="shared" si="97"/>
        <v>0.25</v>
      </c>
      <c r="R691">
        <f t="shared" si="98"/>
        <v>0.2615384615384615</v>
      </c>
    </row>
    <row r="692" spans="1:18">
      <c r="A692" t="s">
        <v>724</v>
      </c>
      <c r="B692" t="s">
        <v>102</v>
      </c>
      <c r="C692" t="str">
        <f t="shared" si="90"/>
        <v>Finance</v>
      </c>
      <c r="D692" t="s">
        <v>27</v>
      </c>
      <c r="E692" t="str">
        <f t="shared" si="91"/>
        <v>Technova</v>
      </c>
      <c r="F692">
        <v>1</v>
      </c>
      <c r="G692">
        <v>39000</v>
      </c>
      <c r="H692" s="1">
        <v>41094</v>
      </c>
      <c r="I692">
        <v>2</v>
      </c>
      <c r="J692" t="s">
        <v>57</v>
      </c>
      <c r="K692">
        <f t="shared" si="92"/>
        <v>2</v>
      </c>
      <c r="L692">
        <f t="shared" si="93"/>
        <v>5.1282051282051279E-5</v>
      </c>
      <c r="M692" t="b">
        <f t="shared" si="94"/>
        <v>0</v>
      </c>
      <c r="N692" t="b">
        <f t="shared" si="95"/>
        <v>0</v>
      </c>
      <c r="O692" t="s">
        <v>22</v>
      </c>
      <c r="P692">
        <f t="shared" si="96"/>
        <v>0.26923076923076916</v>
      </c>
      <c r="Q692">
        <f t="shared" si="97"/>
        <v>0.25</v>
      </c>
      <c r="R692">
        <f t="shared" si="98"/>
        <v>0.2615384615384615</v>
      </c>
    </row>
    <row r="693" spans="1:18">
      <c r="A693" t="s">
        <v>725</v>
      </c>
      <c r="B693" t="s">
        <v>102</v>
      </c>
      <c r="C693" t="str">
        <f t="shared" si="90"/>
        <v>Finance</v>
      </c>
      <c r="D693" t="s">
        <v>27</v>
      </c>
      <c r="E693" t="str">
        <f t="shared" si="91"/>
        <v>Technova</v>
      </c>
      <c r="F693">
        <v>3</v>
      </c>
      <c r="G693">
        <v>39000</v>
      </c>
      <c r="H693" s="1">
        <v>39721</v>
      </c>
      <c r="I693">
        <v>2</v>
      </c>
      <c r="J693" t="s">
        <v>57</v>
      </c>
      <c r="K693">
        <f t="shared" si="92"/>
        <v>2</v>
      </c>
      <c r="L693">
        <f t="shared" si="93"/>
        <v>5.1282051282051279E-5</v>
      </c>
      <c r="M693" t="b">
        <f t="shared" si="94"/>
        <v>0</v>
      </c>
      <c r="N693" t="b">
        <f t="shared" si="95"/>
        <v>0</v>
      </c>
      <c r="O693" t="s">
        <v>22</v>
      </c>
      <c r="P693">
        <f t="shared" si="96"/>
        <v>0.26923076923076916</v>
      </c>
      <c r="Q693">
        <f t="shared" si="97"/>
        <v>0.25</v>
      </c>
      <c r="R693">
        <f t="shared" si="98"/>
        <v>0.2615384615384615</v>
      </c>
    </row>
    <row r="694" spans="1:18">
      <c r="A694" t="s">
        <v>726</v>
      </c>
      <c r="B694" t="s">
        <v>74</v>
      </c>
      <c r="C694" t="str">
        <f t="shared" si="90"/>
        <v>Human Resources</v>
      </c>
      <c r="D694" t="s">
        <v>20</v>
      </c>
      <c r="E694" t="str">
        <f t="shared" si="91"/>
        <v>Dataverse</v>
      </c>
      <c r="F694">
        <v>7</v>
      </c>
      <c r="G694">
        <v>39000</v>
      </c>
      <c r="H694" s="1">
        <v>38618</v>
      </c>
      <c r="I694">
        <v>2</v>
      </c>
      <c r="J694" t="s">
        <v>57</v>
      </c>
      <c r="K694">
        <f t="shared" si="92"/>
        <v>2</v>
      </c>
      <c r="L694">
        <f t="shared" si="93"/>
        <v>5.1282051282051279E-5</v>
      </c>
      <c r="M694" t="b">
        <f t="shared" si="94"/>
        <v>0</v>
      </c>
      <c r="N694" t="b">
        <f t="shared" si="95"/>
        <v>1</v>
      </c>
      <c r="O694" t="s">
        <v>22</v>
      </c>
      <c r="P694">
        <f t="shared" si="96"/>
        <v>0.26923076923076916</v>
      </c>
      <c r="Q694">
        <f t="shared" si="97"/>
        <v>0.25</v>
      </c>
      <c r="R694">
        <f t="shared" si="98"/>
        <v>0.2615384615384615</v>
      </c>
    </row>
    <row r="695" spans="1:18">
      <c r="A695" t="s">
        <v>727</v>
      </c>
      <c r="B695" t="s">
        <v>60</v>
      </c>
      <c r="C695" t="str">
        <f t="shared" si="90"/>
        <v>Manufacturing and operations</v>
      </c>
      <c r="D695" t="s">
        <v>20</v>
      </c>
      <c r="E695" t="str">
        <f t="shared" si="91"/>
        <v>Dataverse</v>
      </c>
      <c r="F695">
        <v>8</v>
      </c>
      <c r="G695">
        <v>39000</v>
      </c>
      <c r="H695" s="1">
        <v>39067</v>
      </c>
      <c r="I695">
        <v>2</v>
      </c>
      <c r="J695" t="s">
        <v>57</v>
      </c>
      <c r="K695">
        <f t="shared" si="92"/>
        <v>2</v>
      </c>
      <c r="L695">
        <f t="shared" si="93"/>
        <v>5.1282051282051279E-5</v>
      </c>
      <c r="M695" t="b">
        <f t="shared" si="94"/>
        <v>0</v>
      </c>
      <c r="N695" t="b">
        <f t="shared" si="95"/>
        <v>1</v>
      </c>
      <c r="O695" t="s">
        <v>22</v>
      </c>
      <c r="P695">
        <f t="shared" si="96"/>
        <v>0.26923076923076916</v>
      </c>
      <c r="Q695">
        <f t="shared" si="97"/>
        <v>0.25</v>
      </c>
      <c r="R695">
        <f t="shared" si="98"/>
        <v>0.2615384615384615</v>
      </c>
    </row>
    <row r="696" spans="1:18">
      <c r="A696" t="s">
        <v>728</v>
      </c>
      <c r="B696" t="s">
        <v>102</v>
      </c>
      <c r="C696" t="str">
        <f t="shared" si="90"/>
        <v>Finance</v>
      </c>
      <c r="D696" t="s">
        <v>27</v>
      </c>
      <c r="E696" t="str">
        <f t="shared" si="91"/>
        <v>Technova</v>
      </c>
      <c r="F696">
        <v>17</v>
      </c>
      <c r="G696">
        <v>50000</v>
      </c>
      <c r="H696" s="1">
        <v>43513</v>
      </c>
      <c r="I696">
        <v>3</v>
      </c>
      <c r="J696" t="s">
        <v>57</v>
      </c>
      <c r="K696">
        <f t="shared" si="92"/>
        <v>2</v>
      </c>
      <c r="L696">
        <f t="shared" si="93"/>
        <v>4.0000000000000003E-5</v>
      </c>
      <c r="M696" t="b">
        <f t="shared" si="94"/>
        <v>1</v>
      </c>
      <c r="N696" t="b">
        <f t="shared" si="95"/>
        <v>1</v>
      </c>
      <c r="O696" t="s">
        <v>22</v>
      </c>
      <c r="P696">
        <f t="shared" si="96"/>
        <v>0.10000000000000002</v>
      </c>
      <c r="Q696">
        <f t="shared" si="97"/>
        <v>0.5</v>
      </c>
      <c r="R696">
        <f t="shared" si="98"/>
        <v>0.26</v>
      </c>
    </row>
    <row r="697" spans="1:18">
      <c r="A697" t="s">
        <v>729</v>
      </c>
      <c r="B697" t="s">
        <v>60</v>
      </c>
      <c r="C697" t="str">
        <f t="shared" si="90"/>
        <v>Manufacturing and operations</v>
      </c>
      <c r="D697" t="s">
        <v>20</v>
      </c>
      <c r="E697" t="str">
        <f t="shared" si="91"/>
        <v>Dataverse</v>
      </c>
      <c r="F697">
        <v>19</v>
      </c>
      <c r="G697">
        <v>50000</v>
      </c>
      <c r="H697" s="1">
        <v>43096</v>
      </c>
      <c r="I697">
        <v>3</v>
      </c>
      <c r="J697" t="s">
        <v>57</v>
      </c>
      <c r="K697">
        <f t="shared" si="92"/>
        <v>2</v>
      </c>
      <c r="L697">
        <f t="shared" si="93"/>
        <v>4.0000000000000003E-5</v>
      </c>
      <c r="M697" t="b">
        <f t="shared" si="94"/>
        <v>1</v>
      </c>
      <c r="N697" t="b">
        <f t="shared" si="95"/>
        <v>1</v>
      </c>
      <c r="O697" t="s">
        <v>22</v>
      </c>
      <c r="P697">
        <f t="shared" si="96"/>
        <v>0.10000000000000002</v>
      </c>
      <c r="Q697">
        <f t="shared" si="97"/>
        <v>0.5</v>
      </c>
      <c r="R697">
        <f t="shared" si="98"/>
        <v>0.26</v>
      </c>
    </row>
    <row r="698" spans="1:18">
      <c r="A698" t="s">
        <v>730</v>
      </c>
      <c r="B698" t="s">
        <v>25</v>
      </c>
      <c r="C698" t="str">
        <f t="shared" si="90"/>
        <v>Sales &amp; Marketing</v>
      </c>
      <c r="D698" t="s">
        <v>20</v>
      </c>
      <c r="E698" t="str">
        <f t="shared" si="91"/>
        <v>Dataverse</v>
      </c>
      <c r="F698">
        <v>25</v>
      </c>
      <c r="G698">
        <v>25000</v>
      </c>
      <c r="H698" s="1">
        <v>44877</v>
      </c>
      <c r="I698">
        <v>3</v>
      </c>
      <c r="J698" t="s">
        <v>21</v>
      </c>
      <c r="K698">
        <f t="shared" si="92"/>
        <v>1</v>
      </c>
      <c r="L698">
        <f t="shared" si="93"/>
        <v>4.0000000000000003E-5</v>
      </c>
      <c r="M698" t="b">
        <f t="shared" si="94"/>
        <v>1</v>
      </c>
      <c r="N698" t="b">
        <f t="shared" si="95"/>
        <v>1</v>
      </c>
      <c r="O698" t="s">
        <v>22</v>
      </c>
      <c r="P698">
        <f t="shared" si="96"/>
        <v>0.10000000000000002</v>
      </c>
      <c r="Q698">
        <f t="shared" si="97"/>
        <v>0.5</v>
      </c>
      <c r="R698">
        <f t="shared" si="98"/>
        <v>0.26</v>
      </c>
    </row>
    <row r="699" spans="1:18">
      <c r="A699" t="s">
        <v>731</v>
      </c>
      <c r="B699" t="s">
        <v>25</v>
      </c>
      <c r="C699" t="str">
        <f t="shared" si="90"/>
        <v>Sales &amp; Marketing</v>
      </c>
      <c r="D699" t="s">
        <v>20</v>
      </c>
      <c r="E699" t="str">
        <f t="shared" si="91"/>
        <v>Dataverse</v>
      </c>
      <c r="F699">
        <v>11</v>
      </c>
      <c r="G699">
        <v>25000</v>
      </c>
      <c r="H699" s="1">
        <v>41642</v>
      </c>
      <c r="I699">
        <v>3</v>
      </c>
      <c r="J699" t="s">
        <v>21</v>
      </c>
      <c r="K699">
        <f t="shared" si="92"/>
        <v>1</v>
      </c>
      <c r="L699">
        <f t="shared" si="93"/>
        <v>4.0000000000000003E-5</v>
      </c>
      <c r="M699" t="b">
        <f t="shared" si="94"/>
        <v>0</v>
      </c>
      <c r="N699" t="b">
        <f t="shared" si="95"/>
        <v>1</v>
      </c>
      <c r="O699" t="s">
        <v>22</v>
      </c>
      <c r="P699">
        <f t="shared" si="96"/>
        <v>0.10000000000000002</v>
      </c>
      <c r="Q699">
        <f t="shared" si="97"/>
        <v>0.5</v>
      </c>
      <c r="R699">
        <f t="shared" si="98"/>
        <v>0.26</v>
      </c>
    </row>
    <row r="700" spans="1:18">
      <c r="A700" t="s">
        <v>732</v>
      </c>
      <c r="B700" t="s">
        <v>67</v>
      </c>
      <c r="C700" t="str">
        <f t="shared" si="90"/>
        <v>Quality Assurance</v>
      </c>
      <c r="D700" t="s">
        <v>27</v>
      </c>
      <c r="E700" t="str">
        <f t="shared" si="91"/>
        <v>Technova</v>
      </c>
      <c r="F700">
        <v>12</v>
      </c>
      <c r="G700">
        <v>50000</v>
      </c>
      <c r="H700" s="1">
        <v>43508</v>
      </c>
      <c r="I700">
        <v>3</v>
      </c>
      <c r="J700" t="s">
        <v>57</v>
      </c>
      <c r="K700">
        <f t="shared" si="92"/>
        <v>2</v>
      </c>
      <c r="L700">
        <f t="shared" si="93"/>
        <v>4.0000000000000003E-5</v>
      </c>
      <c r="M700" t="b">
        <f t="shared" si="94"/>
        <v>0</v>
      </c>
      <c r="N700" t="b">
        <f t="shared" si="95"/>
        <v>1</v>
      </c>
      <c r="O700" t="s">
        <v>22</v>
      </c>
      <c r="P700">
        <f t="shared" si="96"/>
        <v>0.10000000000000002</v>
      </c>
      <c r="Q700">
        <f t="shared" si="97"/>
        <v>0.5</v>
      </c>
      <c r="R700">
        <f t="shared" si="98"/>
        <v>0.26</v>
      </c>
    </row>
    <row r="701" spans="1:18">
      <c r="A701" t="s">
        <v>733</v>
      </c>
      <c r="B701" t="s">
        <v>204</v>
      </c>
      <c r="C701" t="str">
        <f t="shared" si="90"/>
        <v>Administrative Services</v>
      </c>
      <c r="D701" t="s">
        <v>27</v>
      </c>
      <c r="E701" t="str">
        <f t="shared" si="91"/>
        <v>Technova</v>
      </c>
      <c r="F701">
        <v>2</v>
      </c>
      <c r="G701">
        <v>77000</v>
      </c>
      <c r="H701" s="1">
        <v>42676</v>
      </c>
      <c r="I701">
        <v>3</v>
      </c>
      <c r="J701" t="s">
        <v>174</v>
      </c>
      <c r="K701">
        <f t="shared" si="92"/>
        <v>3</v>
      </c>
      <c r="L701">
        <f t="shared" si="93"/>
        <v>3.896103896103896E-5</v>
      </c>
      <c r="M701" t="b">
        <f t="shared" si="94"/>
        <v>0</v>
      </c>
      <c r="N701" t="b">
        <f t="shared" si="95"/>
        <v>0</v>
      </c>
      <c r="O701" t="s">
        <v>22</v>
      </c>
      <c r="P701">
        <f t="shared" si="96"/>
        <v>8.441558441558436E-2</v>
      </c>
      <c r="Q701">
        <f t="shared" si="97"/>
        <v>0.5</v>
      </c>
      <c r="R701">
        <f t="shared" si="98"/>
        <v>0.25064935064935062</v>
      </c>
    </row>
    <row r="702" spans="1:18">
      <c r="A702" t="s">
        <v>734</v>
      </c>
      <c r="B702" t="s">
        <v>70</v>
      </c>
      <c r="C702" t="str">
        <f t="shared" si="90"/>
        <v>Customer Experience</v>
      </c>
      <c r="D702" t="s">
        <v>27</v>
      </c>
      <c r="E702" t="str">
        <f t="shared" si="91"/>
        <v>Technova</v>
      </c>
      <c r="F702">
        <v>25</v>
      </c>
      <c r="G702">
        <v>40000</v>
      </c>
      <c r="H702" s="1">
        <v>43938</v>
      </c>
      <c r="I702">
        <v>2</v>
      </c>
      <c r="J702" t="s">
        <v>57</v>
      </c>
      <c r="K702">
        <f t="shared" si="92"/>
        <v>2</v>
      </c>
      <c r="L702">
        <f t="shared" si="93"/>
        <v>5.0000000000000002E-5</v>
      </c>
      <c r="M702" t="b">
        <f t="shared" si="94"/>
        <v>1</v>
      </c>
      <c r="N702" t="b">
        <f t="shared" si="95"/>
        <v>1</v>
      </c>
      <c r="O702" t="s">
        <v>22</v>
      </c>
      <c r="P702">
        <f t="shared" si="96"/>
        <v>0.25</v>
      </c>
      <c r="Q702">
        <f t="shared" si="97"/>
        <v>0.25</v>
      </c>
      <c r="R702">
        <f t="shared" si="98"/>
        <v>0.25</v>
      </c>
    </row>
    <row r="703" spans="1:18">
      <c r="A703" t="s">
        <v>735</v>
      </c>
      <c r="B703" t="s">
        <v>102</v>
      </c>
      <c r="C703" t="str">
        <f t="shared" si="90"/>
        <v>Finance</v>
      </c>
      <c r="D703" t="s">
        <v>20</v>
      </c>
      <c r="E703" t="str">
        <f t="shared" si="91"/>
        <v>Dataverse</v>
      </c>
      <c r="F703">
        <v>5</v>
      </c>
      <c r="G703">
        <v>40000</v>
      </c>
      <c r="H703" s="1">
        <v>43911</v>
      </c>
      <c r="I703">
        <v>2</v>
      </c>
      <c r="J703" t="s">
        <v>57</v>
      </c>
      <c r="K703">
        <f t="shared" si="92"/>
        <v>2</v>
      </c>
      <c r="L703">
        <f t="shared" si="93"/>
        <v>5.0000000000000002E-5</v>
      </c>
      <c r="M703" t="b">
        <f t="shared" si="94"/>
        <v>0</v>
      </c>
      <c r="N703" t="b">
        <f t="shared" si="95"/>
        <v>0</v>
      </c>
      <c r="O703" t="s">
        <v>22</v>
      </c>
      <c r="P703">
        <f t="shared" si="96"/>
        <v>0.25</v>
      </c>
      <c r="Q703">
        <f t="shared" si="97"/>
        <v>0.25</v>
      </c>
      <c r="R703">
        <f t="shared" si="98"/>
        <v>0.25</v>
      </c>
    </row>
    <row r="704" spans="1:18">
      <c r="A704" t="s">
        <v>736</v>
      </c>
      <c r="B704" t="s">
        <v>56</v>
      </c>
      <c r="C704" t="str">
        <f t="shared" si="90"/>
        <v>IT &amp; Systems</v>
      </c>
      <c r="D704" t="s">
        <v>20</v>
      </c>
      <c r="E704" t="str">
        <f t="shared" si="91"/>
        <v>Dataverse</v>
      </c>
      <c r="F704">
        <v>23</v>
      </c>
      <c r="G704">
        <v>40000</v>
      </c>
      <c r="H704" s="1">
        <v>40908</v>
      </c>
      <c r="I704">
        <v>2</v>
      </c>
      <c r="J704" t="s">
        <v>57</v>
      </c>
      <c r="K704">
        <f t="shared" si="92"/>
        <v>2</v>
      </c>
      <c r="L704">
        <f t="shared" si="93"/>
        <v>5.0000000000000002E-5</v>
      </c>
      <c r="M704" t="b">
        <f t="shared" si="94"/>
        <v>1</v>
      </c>
      <c r="N704" t="b">
        <f t="shared" si="95"/>
        <v>1</v>
      </c>
      <c r="O704" t="s">
        <v>22</v>
      </c>
      <c r="P704">
        <f t="shared" si="96"/>
        <v>0.25</v>
      </c>
      <c r="Q704">
        <f t="shared" si="97"/>
        <v>0.25</v>
      </c>
      <c r="R704">
        <f t="shared" si="98"/>
        <v>0.25</v>
      </c>
    </row>
    <row r="705" spans="1:18">
      <c r="A705" t="s">
        <v>737</v>
      </c>
      <c r="B705" t="s">
        <v>60</v>
      </c>
      <c r="C705" t="str">
        <f t="shared" si="90"/>
        <v>Manufacturing and operations</v>
      </c>
      <c r="D705" t="s">
        <v>27</v>
      </c>
      <c r="E705" t="str">
        <f t="shared" si="91"/>
        <v>Technova</v>
      </c>
      <c r="F705">
        <v>2</v>
      </c>
      <c r="G705">
        <v>40000</v>
      </c>
      <c r="H705" s="1">
        <v>41846</v>
      </c>
      <c r="I705">
        <v>2</v>
      </c>
      <c r="J705" t="s">
        <v>57</v>
      </c>
      <c r="K705">
        <f t="shared" si="92"/>
        <v>2</v>
      </c>
      <c r="L705">
        <f t="shared" si="93"/>
        <v>5.0000000000000002E-5</v>
      </c>
      <c r="M705" t="b">
        <f t="shared" si="94"/>
        <v>0</v>
      </c>
      <c r="N705" t="b">
        <f t="shared" si="95"/>
        <v>0</v>
      </c>
      <c r="O705" t="s">
        <v>22</v>
      </c>
      <c r="P705">
        <f t="shared" si="96"/>
        <v>0.25</v>
      </c>
      <c r="Q705">
        <f t="shared" si="97"/>
        <v>0.25</v>
      </c>
      <c r="R705">
        <f t="shared" si="98"/>
        <v>0.25</v>
      </c>
    </row>
    <row r="706" spans="1:18">
      <c r="A706" t="s">
        <v>738</v>
      </c>
      <c r="B706" t="s">
        <v>25</v>
      </c>
      <c r="C706" t="str">
        <f t="shared" ref="C706:C769" si="99">TRIM(B706)</f>
        <v>Sales &amp; Marketing</v>
      </c>
      <c r="D706" t="s">
        <v>27</v>
      </c>
      <c r="E706" t="str">
        <f t="shared" ref="E706:E769" si="100">TRIM(D706)</f>
        <v>Technova</v>
      </c>
      <c r="F706">
        <v>19</v>
      </c>
      <c r="G706">
        <v>20000</v>
      </c>
      <c r="H706" s="1">
        <v>44776</v>
      </c>
      <c r="I706">
        <v>2</v>
      </c>
      <c r="J706" t="s">
        <v>21</v>
      </c>
      <c r="K706">
        <f t="shared" ref="K706:K769" si="101">IF(J706="A", 3, IF(J706="B", 2, 1))</f>
        <v>1</v>
      </c>
      <c r="L706">
        <f t="shared" ref="L706:L769" si="102">K706/G706</f>
        <v>5.0000000000000002E-5</v>
      </c>
      <c r="M706" t="b">
        <f t="shared" ref="M706:M769" si="103">IF(F706&gt;15, TRUE, FALSE)</f>
        <v>1</v>
      </c>
      <c r="N706" t="b">
        <f t="shared" ref="N706:N769" si="104">IF(F706&gt;5, TRUE, FALSE)</f>
        <v>1</v>
      </c>
      <c r="O706" t="s">
        <v>22</v>
      </c>
      <c r="P706">
        <f t="shared" ref="P706:P769" si="105">(L706-MIN(L:L))/(MAX(L:L)-MIN(L:L))</f>
        <v>0.25</v>
      </c>
      <c r="Q706">
        <f t="shared" ref="Q706:Q769" si="106">(I706-1)/4</f>
        <v>0.25</v>
      </c>
      <c r="R706">
        <f t="shared" ref="R706:R769" si="107">(0.6*P706)+(0.4*Q706)</f>
        <v>0.25</v>
      </c>
    </row>
    <row r="707" spans="1:18">
      <c r="A707" t="s">
        <v>739</v>
      </c>
      <c r="B707" t="s">
        <v>25</v>
      </c>
      <c r="C707" t="str">
        <f t="shared" si="99"/>
        <v>Sales &amp; Marketing</v>
      </c>
      <c r="D707" t="s">
        <v>20</v>
      </c>
      <c r="E707" t="str">
        <f t="shared" si="100"/>
        <v>Dataverse</v>
      </c>
      <c r="F707">
        <v>20</v>
      </c>
      <c r="G707">
        <v>20000</v>
      </c>
      <c r="H707" s="1">
        <v>40849</v>
      </c>
      <c r="I707">
        <v>2</v>
      </c>
      <c r="J707" t="s">
        <v>21</v>
      </c>
      <c r="K707">
        <f t="shared" si="101"/>
        <v>1</v>
      </c>
      <c r="L707">
        <f t="shared" si="102"/>
        <v>5.0000000000000002E-5</v>
      </c>
      <c r="M707" t="b">
        <f t="shared" si="103"/>
        <v>1</v>
      </c>
      <c r="N707" t="b">
        <f t="shared" si="104"/>
        <v>1</v>
      </c>
      <c r="O707" t="s">
        <v>22</v>
      </c>
      <c r="P707">
        <f t="shared" si="105"/>
        <v>0.25</v>
      </c>
      <c r="Q707">
        <f t="shared" si="106"/>
        <v>0.25</v>
      </c>
      <c r="R707">
        <f t="shared" si="107"/>
        <v>0.25</v>
      </c>
    </row>
    <row r="708" spans="1:18">
      <c r="A708" t="s">
        <v>740</v>
      </c>
      <c r="B708" t="s">
        <v>204</v>
      </c>
      <c r="C708" t="str">
        <f t="shared" si="99"/>
        <v>Administrative Services</v>
      </c>
      <c r="D708" t="s">
        <v>27</v>
      </c>
      <c r="E708" t="str">
        <f t="shared" si="100"/>
        <v>Technova</v>
      </c>
      <c r="F708">
        <v>16</v>
      </c>
      <c r="G708">
        <v>78000</v>
      </c>
      <c r="H708" s="1">
        <v>45219</v>
      </c>
      <c r="I708">
        <v>3</v>
      </c>
      <c r="J708" t="s">
        <v>174</v>
      </c>
      <c r="K708">
        <f t="shared" si="101"/>
        <v>3</v>
      </c>
      <c r="L708">
        <f t="shared" si="102"/>
        <v>3.8461538461538463E-5</v>
      </c>
      <c r="M708" t="b">
        <f t="shared" si="103"/>
        <v>1</v>
      </c>
      <c r="N708" t="b">
        <f t="shared" si="104"/>
        <v>1</v>
      </c>
      <c r="O708" t="s">
        <v>22</v>
      </c>
      <c r="P708">
        <f t="shared" si="105"/>
        <v>7.6923076923076913E-2</v>
      </c>
      <c r="Q708">
        <f t="shared" si="106"/>
        <v>0.5</v>
      </c>
      <c r="R708">
        <f t="shared" si="107"/>
        <v>0.24615384615384617</v>
      </c>
    </row>
    <row r="709" spans="1:18">
      <c r="A709" t="s">
        <v>741</v>
      </c>
      <c r="B709" t="s">
        <v>19</v>
      </c>
      <c r="C709" t="str">
        <f t="shared" si="99"/>
        <v>Research &amp; Department</v>
      </c>
      <c r="D709" t="s">
        <v>27</v>
      </c>
      <c r="E709" t="str">
        <f t="shared" si="100"/>
        <v>Technova</v>
      </c>
      <c r="F709">
        <v>3</v>
      </c>
      <c r="G709">
        <v>26000</v>
      </c>
      <c r="H709" s="1">
        <v>44743</v>
      </c>
      <c r="I709">
        <v>3</v>
      </c>
      <c r="J709" t="s">
        <v>21</v>
      </c>
      <c r="K709">
        <f t="shared" si="101"/>
        <v>1</v>
      </c>
      <c r="L709">
        <f t="shared" si="102"/>
        <v>3.8461538461538463E-5</v>
      </c>
      <c r="M709" t="b">
        <f t="shared" si="103"/>
        <v>0</v>
      </c>
      <c r="N709" t="b">
        <f t="shared" si="104"/>
        <v>0</v>
      </c>
      <c r="O709" t="s">
        <v>22</v>
      </c>
      <c r="P709">
        <f t="shared" si="105"/>
        <v>7.6923076923076913E-2</v>
      </c>
      <c r="Q709">
        <f t="shared" si="106"/>
        <v>0.5</v>
      </c>
      <c r="R709">
        <f t="shared" si="107"/>
        <v>0.24615384615384617</v>
      </c>
    </row>
    <row r="710" spans="1:18">
      <c r="A710" t="s">
        <v>742</v>
      </c>
      <c r="B710" t="s">
        <v>19</v>
      </c>
      <c r="C710" t="str">
        <f t="shared" si="99"/>
        <v>Research &amp; Department</v>
      </c>
      <c r="D710" t="s">
        <v>27</v>
      </c>
      <c r="E710" t="str">
        <f t="shared" si="100"/>
        <v>Technova</v>
      </c>
      <c r="F710">
        <v>7</v>
      </c>
      <c r="G710">
        <v>26000</v>
      </c>
      <c r="H710" s="1">
        <v>39479</v>
      </c>
      <c r="I710">
        <v>3</v>
      </c>
      <c r="J710" t="s">
        <v>21</v>
      </c>
      <c r="K710">
        <f t="shared" si="101"/>
        <v>1</v>
      </c>
      <c r="L710">
        <f t="shared" si="102"/>
        <v>3.8461538461538463E-5</v>
      </c>
      <c r="M710" t="b">
        <f t="shared" si="103"/>
        <v>0</v>
      </c>
      <c r="N710" t="b">
        <f t="shared" si="104"/>
        <v>1</v>
      </c>
      <c r="O710" t="s">
        <v>22</v>
      </c>
      <c r="P710">
        <f t="shared" si="105"/>
        <v>7.6923076923076913E-2</v>
      </c>
      <c r="Q710">
        <f t="shared" si="106"/>
        <v>0.5</v>
      </c>
      <c r="R710">
        <f t="shared" si="107"/>
        <v>0.24615384615384617</v>
      </c>
    </row>
    <row r="711" spans="1:18">
      <c r="A711" t="s">
        <v>743</v>
      </c>
      <c r="B711" t="s">
        <v>70</v>
      </c>
      <c r="C711" t="str">
        <f t="shared" si="99"/>
        <v>Customer Experience</v>
      </c>
      <c r="D711" t="s">
        <v>20</v>
      </c>
      <c r="E711" t="str">
        <f t="shared" si="100"/>
        <v>Dataverse</v>
      </c>
      <c r="F711">
        <v>13</v>
      </c>
      <c r="G711">
        <v>33000</v>
      </c>
      <c r="H711" s="1">
        <v>40085</v>
      </c>
      <c r="I711">
        <v>1</v>
      </c>
      <c r="J711" t="s">
        <v>57</v>
      </c>
      <c r="K711">
        <f t="shared" si="101"/>
        <v>2</v>
      </c>
      <c r="L711">
        <f t="shared" si="102"/>
        <v>6.0606060606060605E-5</v>
      </c>
      <c r="M711" t="b">
        <f t="shared" si="103"/>
        <v>0</v>
      </c>
      <c r="N711" t="b">
        <f t="shared" si="104"/>
        <v>1</v>
      </c>
      <c r="O711" t="s">
        <v>22</v>
      </c>
      <c r="P711">
        <f t="shared" si="105"/>
        <v>0.40909090909090901</v>
      </c>
      <c r="Q711">
        <f t="shared" si="106"/>
        <v>0</v>
      </c>
      <c r="R711">
        <f t="shared" si="107"/>
        <v>0.2454545454545454</v>
      </c>
    </row>
    <row r="712" spans="1:18">
      <c r="A712" t="s">
        <v>744</v>
      </c>
      <c r="B712" t="s">
        <v>102</v>
      </c>
      <c r="C712" t="str">
        <f t="shared" si="99"/>
        <v>Finance</v>
      </c>
      <c r="D712" t="s">
        <v>20</v>
      </c>
      <c r="E712" t="str">
        <f t="shared" si="100"/>
        <v>Dataverse</v>
      </c>
      <c r="F712">
        <v>8</v>
      </c>
      <c r="G712">
        <v>33000</v>
      </c>
      <c r="H712" s="1">
        <v>45325</v>
      </c>
      <c r="I712">
        <v>1</v>
      </c>
      <c r="J712" t="s">
        <v>57</v>
      </c>
      <c r="K712">
        <f t="shared" si="101"/>
        <v>2</v>
      </c>
      <c r="L712">
        <f t="shared" si="102"/>
        <v>6.0606060606060605E-5</v>
      </c>
      <c r="M712" t="b">
        <f t="shared" si="103"/>
        <v>0</v>
      </c>
      <c r="N712" t="b">
        <f t="shared" si="104"/>
        <v>1</v>
      </c>
      <c r="O712" t="s">
        <v>22</v>
      </c>
      <c r="P712">
        <f t="shared" si="105"/>
        <v>0.40909090909090901</v>
      </c>
      <c r="Q712">
        <f t="shared" si="106"/>
        <v>0</v>
      </c>
      <c r="R712">
        <f t="shared" si="107"/>
        <v>0.2454545454545454</v>
      </c>
    </row>
    <row r="713" spans="1:18">
      <c r="A713" t="s">
        <v>745</v>
      </c>
      <c r="B713" t="s">
        <v>102</v>
      </c>
      <c r="C713" t="str">
        <f t="shared" si="99"/>
        <v>Finance</v>
      </c>
      <c r="D713" t="s">
        <v>20</v>
      </c>
      <c r="E713" t="str">
        <f t="shared" si="100"/>
        <v>Dataverse</v>
      </c>
      <c r="F713">
        <v>19</v>
      </c>
      <c r="G713">
        <v>33000</v>
      </c>
      <c r="H713" s="1">
        <v>43689</v>
      </c>
      <c r="I713">
        <v>1</v>
      </c>
      <c r="J713" t="s">
        <v>57</v>
      </c>
      <c r="K713">
        <f t="shared" si="101"/>
        <v>2</v>
      </c>
      <c r="L713">
        <f t="shared" si="102"/>
        <v>6.0606060606060605E-5</v>
      </c>
      <c r="M713" t="b">
        <f t="shared" si="103"/>
        <v>1</v>
      </c>
      <c r="N713" t="b">
        <f t="shared" si="104"/>
        <v>1</v>
      </c>
      <c r="O713" t="s">
        <v>22</v>
      </c>
      <c r="P713">
        <f t="shared" si="105"/>
        <v>0.40909090909090901</v>
      </c>
      <c r="Q713">
        <f t="shared" si="106"/>
        <v>0</v>
      </c>
      <c r="R713">
        <f t="shared" si="107"/>
        <v>0.2454545454545454</v>
      </c>
    </row>
    <row r="714" spans="1:18">
      <c r="A714" t="s">
        <v>746</v>
      </c>
      <c r="B714" t="s">
        <v>102</v>
      </c>
      <c r="C714" t="str">
        <f t="shared" si="99"/>
        <v>Finance</v>
      </c>
      <c r="D714" t="s">
        <v>27</v>
      </c>
      <c r="E714" t="str">
        <f t="shared" si="100"/>
        <v>Technova</v>
      </c>
      <c r="F714">
        <v>16</v>
      </c>
      <c r="G714">
        <v>33000</v>
      </c>
      <c r="H714" s="1">
        <v>41942</v>
      </c>
      <c r="I714">
        <v>1</v>
      </c>
      <c r="J714" t="s">
        <v>57</v>
      </c>
      <c r="K714">
        <f t="shared" si="101"/>
        <v>2</v>
      </c>
      <c r="L714">
        <f t="shared" si="102"/>
        <v>6.0606060606060605E-5</v>
      </c>
      <c r="M714" t="b">
        <f t="shared" si="103"/>
        <v>1</v>
      </c>
      <c r="N714" t="b">
        <f t="shared" si="104"/>
        <v>1</v>
      </c>
      <c r="O714" t="s">
        <v>22</v>
      </c>
      <c r="P714">
        <f t="shared" si="105"/>
        <v>0.40909090909090901</v>
      </c>
      <c r="Q714">
        <f t="shared" si="106"/>
        <v>0</v>
      </c>
      <c r="R714">
        <f t="shared" si="107"/>
        <v>0.2454545454545454</v>
      </c>
    </row>
    <row r="715" spans="1:18">
      <c r="A715" t="s">
        <v>747</v>
      </c>
      <c r="B715" t="s">
        <v>74</v>
      </c>
      <c r="C715" t="str">
        <f t="shared" si="99"/>
        <v>Human Resources</v>
      </c>
      <c r="D715" t="s">
        <v>27</v>
      </c>
      <c r="E715" t="str">
        <f t="shared" si="100"/>
        <v>Technova</v>
      </c>
      <c r="F715">
        <v>9</v>
      </c>
      <c r="G715">
        <v>33000</v>
      </c>
      <c r="H715" s="1">
        <v>45012</v>
      </c>
      <c r="I715">
        <v>1</v>
      </c>
      <c r="J715" t="s">
        <v>57</v>
      </c>
      <c r="K715">
        <f t="shared" si="101"/>
        <v>2</v>
      </c>
      <c r="L715">
        <f t="shared" si="102"/>
        <v>6.0606060606060605E-5</v>
      </c>
      <c r="M715" t="b">
        <f t="shared" si="103"/>
        <v>0</v>
      </c>
      <c r="N715" t="b">
        <f t="shared" si="104"/>
        <v>1</v>
      </c>
      <c r="O715" t="s">
        <v>22</v>
      </c>
      <c r="P715">
        <f t="shared" si="105"/>
        <v>0.40909090909090901</v>
      </c>
      <c r="Q715">
        <f t="shared" si="106"/>
        <v>0</v>
      </c>
      <c r="R715">
        <f t="shared" si="107"/>
        <v>0.2454545454545454</v>
      </c>
    </row>
    <row r="716" spans="1:18">
      <c r="A716" t="s">
        <v>748</v>
      </c>
      <c r="B716" t="s">
        <v>56</v>
      </c>
      <c r="C716" t="str">
        <f t="shared" si="99"/>
        <v>IT &amp; Systems</v>
      </c>
      <c r="D716" t="s">
        <v>27</v>
      </c>
      <c r="E716" t="str">
        <f t="shared" si="100"/>
        <v>Technova</v>
      </c>
      <c r="F716">
        <v>21</v>
      </c>
      <c r="G716">
        <v>33000</v>
      </c>
      <c r="H716" s="1">
        <v>40746</v>
      </c>
      <c r="I716">
        <v>1</v>
      </c>
      <c r="J716" t="s">
        <v>57</v>
      </c>
      <c r="K716">
        <f t="shared" si="101"/>
        <v>2</v>
      </c>
      <c r="L716">
        <f t="shared" si="102"/>
        <v>6.0606060606060605E-5</v>
      </c>
      <c r="M716" t="b">
        <f t="shared" si="103"/>
        <v>1</v>
      </c>
      <c r="N716" t="b">
        <f t="shared" si="104"/>
        <v>1</v>
      </c>
      <c r="O716" t="s">
        <v>22</v>
      </c>
      <c r="P716">
        <f t="shared" si="105"/>
        <v>0.40909090909090901</v>
      </c>
      <c r="Q716">
        <f t="shared" si="106"/>
        <v>0</v>
      </c>
      <c r="R716">
        <f t="shared" si="107"/>
        <v>0.2454545454545454</v>
      </c>
    </row>
    <row r="717" spans="1:18">
      <c r="A717" t="s">
        <v>749</v>
      </c>
      <c r="B717" t="s">
        <v>56</v>
      </c>
      <c r="C717" t="str">
        <f t="shared" si="99"/>
        <v>IT &amp; Systems</v>
      </c>
      <c r="D717" t="s">
        <v>27</v>
      </c>
      <c r="E717" t="str">
        <f t="shared" si="100"/>
        <v>Technova</v>
      </c>
      <c r="F717">
        <v>5</v>
      </c>
      <c r="G717">
        <v>33000</v>
      </c>
      <c r="H717" s="1">
        <v>43244</v>
      </c>
      <c r="I717">
        <v>1</v>
      </c>
      <c r="J717" t="s">
        <v>57</v>
      </c>
      <c r="K717">
        <f t="shared" si="101"/>
        <v>2</v>
      </c>
      <c r="L717">
        <f t="shared" si="102"/>
        <v>6.0606060606060605E-5</v>
      </c>
      <c r="M717" t="b">
        <f t="shared" si="103"/>
        <v>0</v>
      </c>
      <c r="N717" t="b">
        <f t="shared" si="104"/>
        <v>0</v>
      </c>
      <c r="O717" t="s">
        <v>22</v>
      </c>
      <c r="P717">
        <f t="shared" si="105"/>
        <v>0.40909090909090901</v>
      </c>
      <c r="Q717">
        <f t="shared" si="106"/>
        <v>0</v>
      </c>
      <c r="R717">
        <f t="shared" si="107"/>
        <v>0.2454545454545454</v>
      </c>
    </row>
    <row r="718" spans="1:18">
      <c r="A718" t="s">
        <v>750</v>
      </c>
      <c r="B718" t="s">
        <v>60</v>
      </c>
      <c r="C718" t="str">
        <f t="shared" si="99"/>
        <v>Manufacturing and operations</v>
      </c>
      <c r="D718" t="s">
        <v>20</v>
      </c>
      <c r="E718" t="str">
        <f t="shared" si="100"/>
        <v>Dataverse</v>
      </c>
      <c r="F718">
        <v>3</v>
      </c>
      <c r="G718">
        <v>33000</v>
      </c>
      <c r="H718" s="1">
        <v>40256</v>
      </c>
      <c r="I718">
        <v>1</v>
      </c>
      <c r="J718" t="s">
        <v>57</v>
      </c>
      <c r="K718">
        <f t="shared" si="101"/>
        <v>2</v>
      </c>
      <c r="L718">
        <f t="shared" si="102"/>
        <v>6.0606060606060605E-5</v>
      </c>
      <c r="M718" t="b">
        <f t="shared" si="103"/>
        <v>0</v>
      </c>
      <c r="N718" t="b">
        <f t="shared" si="104"/>
        <v>0</v>
      </c>
      <c r="O718" t="s">
        <v>22</v>
      </c>
      <c r="P718">
        <f t="shared" si="105"/>
        <v>0.40909090909090901</v>
      </c>
      <c r="Q718">
        <f t="shared" si="106"/>
        <v>0</v>
      </c>
      <c r="R718">
        <f t="shared" si="107"/>
        <v>0.2454545454545454</v>
      </c>
    </row>
    <row r="719" spans="1:18">
      <c r="A719" t="s">
        <v>751</v>
      </c>
      <c r="B719" t="s">
        <v>70</v>
      </c>
      <c r="C719" t="str">
        <f t="shared" si="99"/>
        <v>Customer Experience</v>
      </c>
      <c r="D719" t="s">
        <v>27</v>
      </c>
      <c r="E719" t="str">
        <f t="shared" si="100"/>
        <v>Technova</v>
      </c>
      <c r="F719">
        <v>20</v>
      </c>
      <c r="G719">
        <v>61000</v>
      </c>
      <c r="H719" s="1">
        <v>39476</v>
      </c>
      <c r="I719">
        <v>2</v>
      </c>
      <c r="J719" t="s">
        <v>174</v>
      </c>
      <c r="K719">
        <f t="shared" si="101"/>
        <v>3</v>
      </c>
      <c r="L719">
        <f t="shared" si="102"/>
        <v>4.9180327868852456E-5</v>
      </c>
      <c r="M719" t="b">
        <f t="shared" si="103"/>
        <v>1</v>
      </c>
      <c r="N719" t="b">
        <f t="shared" si="104"/>
        <v>1</v>
      </c>
      <c r="O719" t="s">
        <v>22</v>
      </c>
      <c r="P719">
        <f t="shared" si="105"/>
        <v>0.23770491803278682</v>
      </c>
      <c r="Q719">
        <f t="shared" si="106"/>
        <v>0.25</v>
      </c>
      <c r="R719">
        <f t="shared" si="107"/>
        <v>0.24262295081967208</v>
      </c>
    </row>
    <row r="720" spans="1:18">
      <c r="A720" t="s">
        <v>752</v>
      </c>
      <c r="B720" t="s">
        <v>70</v>
      </c>
      <c r="C720" t="str">
        <f t="shared" si="99"/>
        <v>Customer Experience</v>
      </c>
      <c r="D720" t="s">
        <v>27</v>
      </c>
      <c r="E720" t="str">
        <f t="shared" si="100"/>
        <v>Technova</v>
      </c>
      <c r="F720">
        <v>9</v>
      </c>
      <c r="G720">
        <v>41000</v>
      </c>
      <c r="H720" s="1">
        <v>42871</v>
      </c>
      <c r="I720">
        <v>2</v>
      </c>
      <c r="J720" t="s">
        <v>57</v>
      </c>
      <c r="K720">
        <f t="shared" si="101"/>
        <v>2</v>
      </c>
      <c r="L720">
        <f t="shared" si="102"/>
        <v>4.8780487804878051E-5</v>
      </c>
      <c r="M720" t="b">
        <f t="shared" si="103"/>
        <v>0</v>
      </c>
      <c r="N720" t="b">
        <f t="shared" si="104"/>
        <v>1</v>
      </c>
      <c r="O720" t="s">
        <v>22</v>
      </c>
      <c r="P720">
        <f t="shared" si="105"/>
        <v>0.23170731707317074</v>
      </c>
      <c r="Q720">
        <f t="shared" si="106"/>
        <v>0.25</v>
      </c>
      <c r="R720">
        <f t="shared" si="107"/>
        <v>0.23902439024390246</v>
      </c>
    </row>
    <row r="721" spans="1:18">
      <c r="A721" t="s">
        <v>753</v>
      </c>
      <c r="B721" t="s">
        <v>102</v>
      </c>
      <c r="C721" t="str">
        <f t="shared" si="99"/>
        <v>Finance</v>
      </c>
      <c r="D721" t="s">
        <v>20</v>
      </c>
      <c r="E721" t="str">
        <f t="shared" si="100"/>
        <v>Dataverse</v>
      </c>
      <c r="F721">
        <v>18</v>
      </c>
      <c r="G721">
        <v>41000</v>
      </c>
      <c r="H721" s="1">
        <v>40180</v>
      </c>
      <c r="I721">
        <v>2</v>
      </c>
      <c r="J721" t="s">
        <v>57</v>
      </c>
      <c r="K721">
        <f t="shared" si="101"/>
        <v>2</v>
      </c>
      <c r="L721">
        <f t="shared" si="102"/>
        <v>4.8780487804878051E-5</v>
      </c>
      <c r="M721" t="b">
        <f t="shared" si="103"/>
        <v>1</v>
      </c>
      <c r="N721" t="b">
        <f t="shared" si="104"/>
        <v>1</v>
      </c>
      <c r="O721" t="s">
        <v>22</v>
      </c>
      <c r="P721">
        <f t="shared" si="105"/>
        <v>0.23170731707317074</v>
      </c>
      <c r="Q721">
        <f t="shared" si="106"/>
        <v>0.25</v>
      </c>
      <c r="R721">
        <f t="shared" si="107"/>
        <v>0.23902439024390246</v>
      </c>
    </row>
    <row r="722" spans="1:18">
      <c r="A722" t="s">
        <v>754</v>
      </c>
      <c r="B722" t="s">
        <v>102</v>
      </c>
      <c r="C722" t="str">
        <f t="shared" si="99"/>
        <v>Finance</v>
      </c>
      <c r="D722" t="s">
        <v>20</v>
      </c>
      <c r="E722" t="str">
        <f t="shared" si="100"/>
        <v>Dataverse</v>
      </c>
      <c r="F722">
        <v>16</v>
      </c>
      <c r="G722">
        <v>41000</v>
      </c>
      <c r="H722" s="1">
        <v>42463</v>
      </c>
      <c r="I722">
        <v>2</v>
      </c>
      <c r="J722" t="s">
        <v>57</v>
      </c>
      <c r="K722">
        <f t="shared" si="101"/>
        <v>2</v>
      </c>
      <c r="L722">
        <f t="shared" si="102"/>
        <v>4.8780487804878051E-5</v>
      </c>
      <c r="M722" t="b">
        <f t="shared" si="103"/>
        <v>1</v>
      </c>
      <c r="N722" t="b">
        <f t="shared" si="104"/>
        <v>1</v>
      </c>
      <c r="O722" t="s">
        <v>22</v>
      </c>
      <c r="P722">
        <f t="shared" si="105"/>
        <v>0.23170731707317074</v>
      </c>
      <c r="Q722">
        <f t="shared" si="106"/>
        <v>0.25</v>
      </c>
      <c r="R722">
        <f t="shared" si="107"/>
        <v>0.23902439024390246</v>
      </c>
    </row>
    <row r="723" spans="1:18">
      <c r="A723" t="s">
        <v>755</v>
      </c>
      <c r="B723" t="s">
        <v>56</v>
      </c>
      <c r="C723" t="str">
        <f t="shared" si="99"/>
        <v>IT &amp; Systems</v>
      </c>
      <c r="D723" t="s">
        <v>27</v>
      </c>
      <c r="E723" t="str">
        <f t="shared" si="100"/>
        <v>Technova</v>
      </c>
      <c r="F723">
        <v>25</v>
      </c>
      <c r="G723">
        <v>41000</v>
      </c>
      <c r="H723" s="1">
        <v>42220</v>
      </c>
      <c r="I723">
        <v>2</v>
      </c>
      <c r="J723" t="s">
        <v>57</v>
      </c>
      <c r="K723">
        <f t="shared" si="101"/>
        <v>2</v>
      </c>
      <c r="L723">
        <f t="shared" si="102"/>
        <v>4.8780487804878051E-5</v>
      </c>
      <c r="M723" t="b">
        <f t="shared" si="103"/>
        <v>1</v>
      </c>
      <c r="N723" t="b">
        <f t="shared" si="104"/>
        <v>1</v>
      </c>
      <c r="O723" t="s">
        <v>22</v>
      </c>
      <c r="P723">
        <f t="shared" si="105"/>
        <v>0.23170731707317074</v>
      </c>
      <c r="Q723">
        <f t="shared" si="106"/>
        <v>0.25</v>
      </c>
      <c r="R723">
        <f t="shared" si="107"/>
        <v>0.23902439024390246</v>
      </c>
    </row>
    <row r="724" spans="1:18">
      <c r="A724" t="s">
        <v>756</v>
      </c>
      <c r="B724" t="s">
        <v>60</v>
      </c>
      <c r="C724" t="str">
        <f t="shared" si="99"/>
        <v>Manufacturing and operations</v>
      </c>
      <c r="D724" t="s">
        <v>27</v>
      </c>
      <c r="E724" t="str">
        <f t="shared" si="100"/>
        <v>Technova</v>
      </c>
      <c r="F724">
        <v>11</v>
      </c>
      <c r="G724">
        <v>41000</v>
      </c>
      <c r="H724" s="1">
        <v>44007</v>
      </c>
      <c r="I724">
        <v>2</v>
      </c>
      <c r="J724" t="s">
        <v>57</v>
      </c>
      <c r="K724">
        <f t="shared" si="101"/>
        <v>2</v>
      </c>
      <c r="L724">
        <f t="shared" si="102"/>
        <v>4.8780487804878051E-5</v>
      </c>
      <c r="M724" t="b">
        <f t="shared" si="103"/>
        <v>0</v>
      </c>
      <c r="N724" t="b">
        <f t="shared" si="104"/>
        <v>1</v>
      </c>
      <c r="O724" t="s">
        <v>22</v>
      </c>
      <c r="P724">
        <f t="shared" si="105"/>
        <v>0.23170731707317074</v>
      </c>
      <c r="Q724">
        <f t="shared" si="106"/>
        <v>0.25</v>
      </c>
      <c r="R724">
        <f t="shared" si="107"/>
        <v>0.23902439024390246</v>
      </c>
    </row>
    <row r="725" spans="1:18">
      <c r="A725" t="s">
        <v>757</v>
      </c>
      <c r="B725" t="s">
        <v>60</v>
      </c>
      <c r="C725" t="str">
        <f t="shared" si="99"/>
        <v>Manufacturing and operations</v>
      </c>
      <c r="D725" t="s">
        <v>27</v>
      </c>
      <c r="E725" t="str">
        <f t="shared" si="100"/>
        <v>Technova</v>
      </c>
      <c r="F725">
        <v>1</v>
      </c>
      <c r="G725">
        <v>41000</v>
      </c>
      <c r="H725" s="1">
        <v>41814</v>
      </c>
      <c r="I725">
        <v>2</v>
      </c>
      <c r="J725" t="s">
        <v>57</v>
      </c>
      <c r="K725">
        <f t="shared" si="101"/>
        <v>2</v>
      </c>
      <c r="L725">
        <f t="shared" si="102"/>
        <v>4.8780487804878051E-5</v>
      </c>
      <c r="M725" t="b">
        <f t="shared" si="103"/>
        <v>0</v>
      </c>
      <c r="N725" t="b">
        <f t="shared" si="104"/>
        <v>0</v>
      </c>
      <c r="O725" t="s">
        <v>22</v>
      </c>
      <c r="P725">
        <f t="shared" si="105"/>
        <v>0.23170731707317074</v>
      </c>
      <c r="Q725">
        <f t="shared" si="106"/>
        <v>0.25</v>
      </c>
      <c r="R725">
        <f t="shared" si="107"/>
        <v>0.23902439024390246</v>
      </c>
    </row>
    <row r="726" spans="1:18">
      <c r="A726" t="s">
        <v>758</v>
      </c>
      <c r="B726" t="s">
        <v>60</v>
      </c>
      <c r="C726" t="str">
        <f t="shared" si="99"/>
        <v>Manufacturing and operations</v>
      </c>
      <c r="D726" t="s">
        <v>20</v>
      </c>
      <c r="E726" t="str">
        <f t="shared" si="100"/>
        <v>Dataverse</v>
      </c>
      <c r="F726">
        <v>23</v>
      </c>
      <c r="G726">
        <v>41000</v>
      </c>
      <c r="H726" s="1">
        <v>38772</v>
      </c>
      <c r="I726">
        <v>2</v>
      </c>
      <c r="J726" t="s">
        <v>57</v>
      </c>
      <c r="K726">
        <f t="shared" si="101"/>
        <v>2</v>
      </c>
      <c r="L726">
        <f t="shared" si="102"/>
        <v>4.8780487804878051E-5</v>
      </c>
      <c r="M726" t="b">
        <f t="shared" si="103"/>
        <v>1</v>
      </c>
      <c r="N726" t="b">
        <f t="shared" si="104"/>
        <v>1</v>
      </c>
      <c r="O726" t="s">
        <v>22</v>
      </c>
      <c r="P726">
        <f t="shared" si="105"/>
        <v>0.23170731707317074</v>
      </c>
      <c r="Q726">
        <f t="shared" si="106"/>
        <v>0.25</v>
      </c>
      <c r="R726">
        <f t="shared" si="107"/>
        <v>0.23902439024390246</v>
      </c>
    </row>
    <row r="727" spans="1:18">
      <c r="A727" t="s">
        <v>759</v>
      </c>
      <c r="B727" t="s">
        <v>70</v>
      </c>
      <c r="C727" t="str">
        <f t="shared" si="99"/>
        <v>Customer Experience</v>
      </c>
      <c r="D727" t="s">
        <v>20</v>
      </c>
      <c r="E727" t="str">
        <f t="shared" si="100"/>
        <v>Dataverse</v>
      </c>
      <c r="F727">
        <v>3</v>
      </c>
      <c r="G727">
        <v>80000</v>
      </c>
      <c r="H727" s="1">
        <v>40906</v>
      </c>
      <c r="I727">
        <v>3</v>
      </c>
      <c r="J727" t="s">
        <v>174</v>
      </c>
      <c r="K727">
        <f t="shared" si="101"/>
        <v>3</v>
      </c>
      <c r="L727">
        <f t="shared" si="102"/>
        <v>3.7499999999999997E-5</v>
      </c>
      <c r="M727" t="b">
        <f t="shared" si="103"/>
        <v>0</v>
      </c>
      <c r="N727" t="b">
        <f t="shared" si="104"/>
        <v>0</v>
      </c>
      <c r="O727" t="s">
        <v>22</v>
      </c>
      <c r="P727">
        <f t="shared" si="105"/>
        <v>6.2499999999999924E-2</v>
      </c>
      <c r="Q727">
        <f t="shared" si="106"/>
        <v>0.5</v>
      </c>
      <c r="R727">
        <f t="shared" si="107"/>
        <v>0.23749999999999996</v>
      </c>
    </row>
    <row r="728" spans="1:18">
      <c r="A728" t="s">
        <v>760</v>
      </c>
      <c r="B728" t="s">
        <v>224</v>
      </c>
      <c r="C728" t="str">
        <f t="shared" si="99"/>
        <v>Business Strategy</v>
      </c>
      <c r="D728" t="s">
        <v>27</v>
      </c>
      <c r="E728" t="str">
        <f t="shared" si="100"/>
        <v>Technova</v>
      </c>
      <c r="F728">
        <v>4</v>
      </c>
      <c r="G728">
        <v>62000</v>
      </c>
      <c r="H728" s="1">
        <v>42244</v>
      </c>
      <c r="I728">
        <v>2</v>
      </c>
      <c r="J728" t="s">
        <v>174</v>
      </c>
      <c r="K728">
        <f t="shared" si="101"/>
        <v>3</v>
      </c>
      <c r="L728">
        <f t="shared" si="102"/>
        <v>4.8387096774193547E-5</v>
      </c>
      <c r="M728" t="b">
        <f t="shared" si="103"/>
        <v>0</v>
      </c>
      <c r="N728" t="b">
        <f t="shared" si="104"/>
        <v>0</v>
      </c>
      <c r="O728" t="s">
        <v>22</v>
      </c>
      <c r="P728">
        <f t="shared" si="105"/>
        <v>0.22580645161290316</v>
      </c>
      <c r="Q728">
        <f t="shared" si="106"/>
        <v>0.25</v>
      </c>
      <c r="R728">
        <f t="shared" si="107"/>
        <v>0.2354838709677419</v>
      </c>
    </row>
    <row r="729" spans="1:18">
      <c r="A729" t="s">
        <v>761</v>
      </c>
      <c r="B729" t="s">
        <v>224</v>
      </c>
      <c r="C729" t="str">
        <f t="shared" si="99"/>
        <v>Business Strategy</v>
      </c>
      <c r="D729" t="s">
        <v>27</v>
      </c>
      <c r="E729" t="str">
        <f t="shared" si="100"/>
        <v>Technova</v>
      </c>
      <c r="F729">
        <v>1</v>
      </c>
      <c r="G729">
        <v>62000</v>
      </c>
      <c r="H729" s="1">
        <v>41250</v>
      </c>
      <c r="I729">
        <v>2</v>
      </c>
      <c r="J729" t="s">
        <v>174</v>
      </c>
      <c r="K729">
        <f t="shared" si="101"/>
        <v>3</v>
      </c>
      <c r="L729">
        <f t="shared" si="102"/>
        <v>4.8387096774193547E-5</v>
      </c>
      <c r="M729" t="b">
        <f t="shared" si="103"/>
        <v>0</v>
      </c>
      <c r="N729" t="b">
        <f t="shared" si="104"/>
        <v>0</v>
      </c>
      <c r="O729" t="s">
        <v>22</v>
      </c>
      <c r="P729">
        <f t="shared" si="105"/>
        <v>0.22580645161290316</v>
      </c>
      <c r="Q729">
        <f t="shared" si="106"/>
        <v>0.25</v>
      </c>
      <c r="R729">
        <f t="shared" si="107"/>
        <v>0.2354838709677419</v>
      </c>
    </row>
    <row r="730" spans="1:18">
      <c r="A730" t="s">
        <v>762</v>
      </c>
      <c r="B730" t="s">
        <v>19</v>
      </c>
      <c r="C730" t="str">
        <f t="shared" si="99"/>
        <v>Research &amp; Department</v>
      </c>
      <c r="D730" t="s">
        <v>20</v>
      </c>
      <c r="E730" t="str">
        <f t="shared" si="100"/>
        <v>Dataverse</v>
      </c>
      <c r="F730">
        <v>4</v>
      </c>
      <c r="G730">
        <v>27000</v>
      </c>
      <c r="H730" s="1">
        <v>42315</v>
      </c>
      <c r="I730">
        <v>3</v>
      </c>
      <c r="J730" t="s">
        <v>21</v>
      </c>
      <c r="K730">
        <f t="shared" si="101"/>
        <v>1</v>
      </c>
      <c r="L730">
        <f t="shared" si="102"/>
        <v>3.7037037037037037E-5</v>
      </c>
      <c r="M730" t="b">
        <f t="shared" si="103"/>
        <v>0</v>
      </c>
      <c r="N730" t="b">
        <f t="shared" si="104"/>
        <v>0</v>
      </c>
      <c r="O730" t="s">
        <v>22</v>
      </c>
      <c r="P730">
        <f t="shared" si="105"/>
        <v>5.5555555555555525E-2</v>
      </c>
      <c r="Q730">
        <f t="shared" si="106"/>
        <v>0.5</v>
      </c>
      <c r="R730">
        <f t="shared" si="107"/>
        <v>0.23333333333333334</v>
      </c>
    </row>
    <row r="731" spans="1:18">
      <c r="A731" t="s">
        <v>763</v>
      </c>
      <c r="B731" t="s">
        <v>19</v>
      </c>
      <c r="C731" t="str">
        <f t="shared" si="99"/>
        <v>Research &amp; Department</v>
      </c>
      <c r="D731" t="s">
        <v>27</v>
      </c>
      <c r="E731" t="str">
        <f t="shared" si="100"/>
        <v>Technova</v>
      </c>
      <c r="F731">
        <v>24</v>
      </c>
      <c r="G731">
        <v>27000</v>
      </c>
      <c r="H731" s="1">
        <v>43424</v>
      </c>
      <c r="I731">
        <v>3</v>
      </c>
      <c r="J731" t="s">
        <v>21</v>
      </c>
      <c r="K731">
        <f t="shared" si="101"/>
        <v>1</v>
      </c>
      <c r="L731">
        <f t="shared" si="102"/>
        <v>3.7037037037037037E-5</v>
      </c>
      <c r="M731" t="b">
        <f t="shared" si="103"/>
        <v>1</v>
      </c>
      <c r="N731" t="b">
        <f t="shared" si="104"/>
        <v>1</v>
      </c>
      <c r="O731" t="s">
        <v>22</v>
      </c>
      <c r="P731">
        <f t="shared" si="105"/>
        <v>5.5555555555555525E-2</v>
      </c>
      <c r="Q731">
        <f t="shared" si="106"/>
        <v>0.5</v>
      </c>
      <c r="R731">
        <f t="shared" si="107"/>
        <v>0.23333333333333334</v>
      </c>
    </row>
    <row r="732" spans="1:18">
      <c r="A732" t="s">
        <v>764</v>
      </c>
      <c r="B732" t="s">
        <v>25</v>
      </c>
      <c r="C732" t="str">
        <f t="shared" si="99"/>
        <v>Sales &amp; Marketing</v>
      </c>
      <c r="D732" t="s">
        <v>27</v>
      </c>
      <c r="E732" t="str">
        <f t="shared" si="100"/>
        <v>Technova</v>
      </c>
      <c r="F732">
        <v>5</v>
      </c>
      <c r="G732">
        <v>27000</v>
      </c>
      <c r="H732" s="1">
        <v>43351</v>
      </c>
      <c r="I732">
        <v>3</v>
      </c>
      <c r="J732" t="s">
        <v>21</v>
      </c>
      <c r="K732">
        <f t="shared" si="101"/>
        <v>1</v>
      </c>
      <c r="L732">
        <f t="shared" si="102"/>
        <v>3.7037037037037037E-5</v>
      </c>
      <c r="M732" t="b">
        <f t="shared" si="103"/>
        <v>0</v>
      </c>
      <c r="N732" t="b">
        <f t="shared" si="104"/>
        <v>0</v>
      </c>
      <c r="O732" t="s">
        <v>22</v>
      </c>
      <c r="P732">
        <f t="shared" si="105"/>
        <v>5.5555555555555525E-2</v>
      </c>
      <c r="Q732">
        <f t="shared" si="106"/>
        <v>0.5</v>
      </c>
      <c r="R732">
        <f t="shared" si="107"/>
        <v>0.23333333333333334</v>
      </c>
    </row>
    <row r="733" spans="1:18">
      <c r="A733" t="s">
        <v>765</v>
      </c>
      <c r="B733" t="s">
        <v>102</v>
      </c>
      <c r="C733" t="str">
        <f t="shared" si="99"/>
        <v>Finance</v>
      </c>
      <c r="D733" t="s">
        <v>27</v>
      </c>
      <c r="E733" t="str">
        <f t="shared" si="100"/>
        <v>Technova</v>
      </c>
      <c r="F733">
        <v>8</v>
      </c>
      <c r="G733">
        <v>34000</v>
      </c>
      <c r="H733" s="1">
        <v>41048</v>
      </c>
      <c r="I733">
        <v>1</v>
      </c>
      <c r="J733" t="s">
        <v>57</v>
      </c>
      <c r="K733">
        <f t="shared" si="101"/>
        <v>2</v>
      </c>
      <c r="L733">
        <f t="shared" si="102"/>
        <v>5.8823529411764708E-5</v>
      </c>
      <c r="M733" t="b">
        <f t="shared" si="103"/>
        <v>0</v>
      </c>
      <c r="N733" t="b">
        <f t="shared" si="104"/>
        <v>1</v>
      </c>
      <c r="O733" t="s">
        <v>22</v>
      </c>
      <c r="P733">
        <f t="shared" si="105"/>
        <v>0.38235294117647056</v>
      </c>
      <c r="Q733">
        <f t="shared" si="106"/>
        <v>0</v>
      </c>
      <c r="R733">
        <f t="shared" si="107"/>
        <v>0.22941176470588232</v>
      </c>
    </row>
    <row r="734" spans="1:18">
      <c r="A734" t="s">
        <v>766</v>
      </c>
      <c r="B734" t="s">
        <v>74</v>
      </c>
      <c r="C734" t="str">
        <f t="shared" si="99"/>
        <v>Human Resources</v>
      </c>
      <c r="D734" t="s">
        <v>20</v>
      </c>
      <c r="E734" t="str">
        <f t="shared" si="100"/>
        <v>Dataverse</v>
      </c>
      <c r="F734">
        <v>1</v>
      </c>
      <c r="G734">
        <v>34000</v>
      </c>
      <c r="H734" s="1">
        <v>40849</v>
      </c>
      <c r="I734">
        <v>1</v>
      </c>
      <c r="J734" t="s">
        <v>57</v>
      </c>
      <c r="K734">
        <f t="shared" si="101"/>
        <v>2</v>
      </c>
      <c r="L734">
        <f t="shared" si="102"/>
        <v>5.8823529411764708E-5</v>
      </c>
      <c r="M734" t="b">
        <f t="shared" si="103"/>
        <v>0</v>
      </c>
      <c r="N734" t="b">
        <f t="shared" si="104"/>
        <v>0</v>
      </c>
      <c r="O734" t="s">
        <v>22</v>
      </c>
      <c r="P734">
        <f t="shared" si="105"/>
        <v>0.38235294117647056</v>
      </c>
      <c r="Q734">
        <f t="shared" si="106"/>
        <v>0</v>
      </c>
      <c r="R734">
        <f t="shared" si="107"/>
        <v>0.22941176470588232</v>
      </c>
    </row>
    <row r="735" spans="1:18">
      <c r="A735" t="s">
        <v>767</v>
      </c>
      <c r="B735" t="s">
        <v>19</v>
      </c>
      <c r="C735" t="str">
        <f t="shared" si="99"/>
        <v>Research &amp; Department</v>
      </c>
      <c r="D735" t="s">
        <v>20</v>
      </c>
      <c r="E735" t="str">
        <f t="shared" si="100"/>
        <v>Dataverse</v>
      </c>
      <c r="F735">
        <v>14</v>
      </c>
      <c r="G735">
        <v>17000</v>
      </c>
      <c r="H735" s="1">
        <v>40077</v>
      </c>
      <c r="I735">
        <v>1</v>
      </c>
      <c r="J735" t="s">
        <v>21</v>
      </c>
      <c r="K735">
        <f t="shared" si="101"/>
        <v>1</v>
      </c>
      <c r="L735">
        <f t="shared" si="102"/>
        <v>5.8823529411764708E-5</v>
      </c>
      <c r="M735" t="b">
        <f t="shared" si="103"/>
        <v>0</v>
      </c>
      <c r="N735" t="b">
        <f t="shared" si="104"/>
        <v>1</v>
      </c>
      <c r="O735" t="s">
        <v>22</v>
      </c>
      <c r="P735">
        <f t="shared" si="105"/>
        <v>0.38235294117647056</v>
      </c>
      <c r="Q735">
        <f t="shared" si="106"/>
        <v>0</v>
      </c>
      <c r="R735">
        <f t="shared" si="107"/>
        <v>0.22941176470588232</v>
      </c>
    </row>
    <row r="736" spans="1:18">
      <c r="A736" t="s">
        <v>768</v>
      </c>
      <c r="B736" t="s">
        <v>74</v>
      </c>
      <c r="C736" t="str">
        <f t="shared" si="99"/>
        <v>Human Resources</v>
      </c>
      <c r="D736" t="s">
        <v>27</v>
      </c>
      <c r="E736" t="str">
        <f t="shared" si="100"/>
        <v>Technova</v>
      </c>
      <c r="F736">
        <v>21</v>
      </c>
      <c r="G736">
        <v>34000</v>
      </c>
      <c r="H736" s="1">
        <v>41650</v>
      </c>
      <c r="I736">
        <v>1</v>
      </c>
      <c r="J736" t="s">
        <v>57</v>
      </c>
      <c r="K736">
        <f t="shared" si="101"/>
        <v>2</v>
      </c>
      <c r="L736">
        <f t="shared" si="102"/>
        <v>5.8823529411764708E-5</v>
      </c>
      <c r="M736" t="b">
        <f t="shared" si="103"/>
        <v>1</v>
      </c>
      <c r="N736" t="b">
        <f t="shared" si="104"/>
        <v>1</v>
      </c>
      <c r="O736" t="s">
        <v>22</v>
      </c>
      <c r="P736">
        <f t="shared" si="105"/>
        <v>0.38235294117647056</v>
      </c>
      <c r="Q736">
        <f t="shared" si="106"/>
        <v>0</v>
      </c>
      <c r="R736">
        <f t="shared" si="107"/>
        <v>0.22941176470588232</v>
      </c>
    </row>
    <row r="737" spans="1:18">
      <c r="A737" t="s">
        <v>769</v>
      </c>
      <c r="B737" t="s">
        <v>74</v>
      </c>
      <c r="C737" t="str">
        <f t="shared" si="99"/>
        <v>Human Resources</v>
      </c>
      <c r="D737" t="s">
        <v>27</v>
      </c>
      <c r="E737" t="str">
        <f t="shared" si="100"/>
        <v>Technova</v>
      </c>
      <c r="F737">
        <v>12</v>
      </c>
      <c r="G737">
        <v>34000</v>
      </c>
      <c r="H737" s="1">
        <v>41045</v>
      </c>
      <c r="I737">
        <v>1</v>
      </c>
      <c r="J737" t="s">
        <v>57</v>
      </c>
      <c r="K737">
        <f t="shared" si="101"/>
        <v>2</v>
      </c>
      <c r="L737">
        <f t="shared" si="102"/>
        <v>5.8823529411764708E-5</v>
      </c>
      <c r="M737" t="b">
        <f t="shared" si="103"/>
        <v>0</v>
      </c>
      <c r="N737" t="b">
        <f t="shared" si="104"/>
        <v>1</v>
      </c>
      <c r="O737" t="s">
        <v>22</v>
      </c>
      <c r="P737">
        <f t="shared" si="105"/>
        <v>0.38235294117647056</v>
      </c>
      <c r="Q737">
        <f t="shared" si="106"/>
        <v>0</v>
      </c>
      <c r="R737">
        <f t="shared" si="107"/>
        <v>0.22941176470588232</v>
      </c>
    </row>
    <row r="738" spans="1:18">
      <c r="A738" t="s">
        <v>770</v>
      </c>
      <c r="B738" t="s">
        <v>74</v>
      </c>
      <c r="C738" t="str">
        <f t="shared" si="99"/>
        <v>Human Resources</v>
      </c>
      <c r="D738" t="s">
        <v>20</v>
      </c>
      <c r="E738" t="str">
        <f t="shared" si="100"/>
        <v>Dataverse</v>
      </c>
      <c r="F738">
        <v>2</v>
      </c>
      <c r="G738">
        <v>34000</v>
      </c>
      <c r="H738" s="1">
        <v>38409</v>
      </c>
      <c r="I738">
        <v>1</v>
      </c>
      <c r="J738" t="s">
        <v>57</v>
      </c>
      <c r="K738">
        <f t="shared" si="101"/>
        <v>2</v>
      </c>
      <c r="L738">
        <f t="shared" si="102"/>
        <v>5.8823529411764708E-5</v>
      </c>
      <c r="M738" t="b">
        <f t="shared" si="103"/>
        <v>0</v>
      </c>
      <c r="N738" t="b">
        <f t="shared" si="104"/>
        <v>0</v>
      </c>
      <c r="O738" t="s">
        <v>22</v>
      </c>
      <c r="P738">
        <f t="shared" si="105"/>
        <v>0.38235294117647056</v>
      </c>
      <c r="Q738">
        <f t="shared" si="106"/>
        <v>0</v>
      </c>
      <c r="R738">
        <f t="shared" si="107"/>
        <v>0.22941176470588232</v>
      </c>
    </row>
    <row r="739" spans="1:18">
      <c r="A739" t="s">
        <v>771</v>
      </c>
      <c r="B739" t="s">
        <v>56</v>
      </c>
      <c r="C739" t="str">
        <f t="shared" si="99"/>
        <v>IT &amp; Systems</v>
      </c>
      <c r="D739" t="s">
        <v>27</v>
      </c>
      <c r="E739" t="str">
        <f t="shared" si="100"/>
        <v>Technova</v>
      </c>
      <c r="F739">
        <v>8</v>
      </c>
      <c r="G739">
        <v>34000</v>
      </c>
      <c r="H739" s="1">
        <v>40968</v>
      </c>
      <c r="I739">
        <v>1</v>
      </c>
      <c r="J739" t="s">
        <v>57</v>
      </c>
      <c r="K739">
        <f t="shared" si="101"/>
        <v>2</v>
      </c>
      <c r="L739">
        <f t="shared" si="102"/>
        <v>5.8823529411764708E-5</v>
      </c>
      <c r="M739" t="b">
        <f t="shared" si="103"/>
        <v>0</v>
      </c>
      <c r="N739" t="b">
        <f t="shared" si="104"/>
        <v>1</v>
      </c>
      <c r="O739" t="s">
        <v>22</v>
      </c>
      <c r="P739">
        <f t="shared" si="105"/>
        <v>0.38235294117647056</v>
      </c>
      <c r="Q739">
        <f t="shared" si="106"/>
        <v>0</v>
      </c>
      <c r="R739">
        <f t="shared" si="107"/>
        <v>0.22941176470588232</v>
      </c>
    </row>
    <row r="740" spans="1:18">
      <c r="A740" t="s">
        <v>772</v>
      </c>
      <c r="B740" t="s">
        <v>56</v>
      </c>
      <c r="C740" t="str">
        <f t="shared" si="99"/>
        <v>IT &amp; Systems</v>
      </c>
      <c r="D740" t="s">
        <v>27</v>
      </c>
      <c r="E740" t="str">
        <f t="shared" si="100"/>
        <v>Technova</v>
      </c>
      <c r="F740">
        <v>8</v>
      </c>
      <c r="G740">
        <v>34000</v>
      </c>
      <c r="H740" s="1">
        <v>43039</v>
      </c>
      <c r="I740">
        <v>1</v>
      </c>
      <c r="J740" t="s">
        <v>57</v>
      </c>
      <c r="K740">
        <f t="shared" si="101"/>
        <v>2</v>
      </c>
      <c r="L740">
        <f t="shared" si="102"/>
        <v>5.8823529411764708E-5</v>
      </c>
      <c r="M740" t="b">
        <f t="shared" si="103"/>
        <v>0</v>
      </c>
      <c r="N740" t="b">
        <f t="shared" si="104"/>
        <v>1</v>
      </c>
      <c r="O740" t="s">
        <v>22</v>
      </c>
      <c r="P740">
        <f t="shared" si="105"/>
        <v>0.38235294117647056</v>
      </c>
      <c r="Q740">
        <f t="shared" si="106"/>
        <v>0</v>
      </c>
      <c r="R740">
        <f t="shared" si="107"/>
        <v>0.22941176470588232</v>
      </c>
    </row>
    <row r="741" spans="1:18">
      <c r="A741" t="s">
        <v>773</v>
      </c>
      <c r="B741" t="s">
        <v>60</v>
      </c>
      <c r="C741" t="str">
        <f t="shared" si="99"/>
        <v>Manufacturing and operations</v>
      </c>
      <c r="D741" t="s">
        <v>27</v>
      </c>
      <c r="E741" t="str">
        <f t="shared" si="100"/>
        <v>Technova</v>
      </c>
      <c r="F741">
        <v>2</v>
      </c>
      <c r="G741">
        <v>34000</v>
      </c>
      <c r="H741" s="1">
        <v>44676</v>
      </c>
      <c r="I741">
        <v>1</v>
      </c>
      <c r="J741" t="s">
        <v>57</v>
      </c>
      <c r="K741">
        <f t="shared" si="101"/>
        <v>2</v>
      </c>
      <c r="L741">
        <f t="shared" si="102"/>
        <v>5.8823529411764708E-5</v>
      </c>
      <c r="M741" t="b">
        <f t="shared" si="103"/>
        <v>0</v>
      </c>
      <c r="N741" t="b">
        <f t="shared" si="104"/>
        <v>0</v>
      </c>
      <c r="O741" t="s">
        <v>22</v>
      </c>
      <c r="P741">
        <f t="shared" si="105"/>
        <v>0.38235294117647056</v>
      </c>
      <c r="Q741">
        <f t="shared" si="106"/>
        <v>0</v>
      </c>
      <c r="R741">
        <f t="shared" si="107"/>
        <v>0.22941176470588232</v>
      </c>
    </row>
    <row r="742" spans="1:18">
      <c r="A742" t="s">
        <v>774</v>
      </c>
      <c r="B742" t="s">
        <v>60</v>
      </c>
      <c r="C742" t="str">
        <f t="shared" si="99"/>
        <v>Manufacturing and operations</v>
      </c>
      <c r="D742" t="s">
        <v>27</v>
      </c>
      <c r="E742" t="str">
        <f t="shared" si="100"/>
        <v>Technova</v>
      </c>
      <c r="F742">
        <v>2</v>
      </c>
      <c r="G742">
        <v>34000</v>
      </c>
      <c r="H742" s="1">
        <v>40831</v>
      </c>
      <c r="I742">
        <v>1</v>
      </c>
      <c r="J742" t="s">
        <v>57</v>
      </c>
      <c r="K742">
        <f t="shared" si="101"/>
        <v>2</v>
      </c>
      <c r="L742">
        <f t="shared" si="102"/>
        <v>5.8823529411764708E-5</v>
      </c>
      <c r="M742" t="b">
        <f t="shared" si="103"/>
        <v>0</v>
      </c>
      <c r="N742" t="b">
        <f t="shared" si="104"/>
        <v>0</v>
      </c>
      <c r="O742" t="s">
        <v>22</v>
      </c>
      <c r="P742">
        <f t="shared" si="105"/>
        <v>0.38235294117647056</v>
      </c>
      <c r="Q742">
        <f t="shared" si="106"/>
        <v>0</v>
      </c>
      <c r="R742">
        <f t="shared" si="107"/>
        <v>0.22941176470588232</v>
      </c>
    </row>
    <row r="743" spans="1:18">
      <c r="A743" t="s">
        <v>775</v>
      </c>
      <c r="B743" t="s">
        <v>60</v>
      </c>
      <c r="C743" t="str">
        <f t="shared" si="99"/>
        <v>Manufacturing and operations</v>
      </c>
      <c r="D743" t="s">
        <v>20</v>
      </c>
      <c r="E743" t="str">
        <f t="shared" si="100"/>
        <v>Dataverse</v>
      </c>
      <c r="F743">
        <v>16</v>
      </c>
      <c r="G743">
        <v>34000</v>
      </c>
      <c r="H743" s="1">
        <v>38452</v>
      </c>
      <c r="I743">
        <v>1</v>
      </c>
      <c r="J743" t="s">
        <v>57</v>
      </c>
      <c r="K743">
        <f t="shared" si="101"/>
        <v>2</v>
      </c>
      <c r="L743">
        <f t="shared" si="102"/>
        <v>5.8823529411764708E-5</v>
      </c>
      <c r="M743" t="b">
        <f t="shared" si="103"/>
        <v>1</v>
      </c>
      <c r="N743" t="b">
        <f t="shared" si="104"/>
        <v>1</v>
      </c>
      <c r="O743" t="s">
        <v>22</v>
      </c>
      <c r="P743">
        <f t="shared" si="105"/>
        <v>0.38235294117647056</v>
      </c>
      <c r="Q743">
        <f t="shared" si="106"/>
        <v>0</v>
      </c>
      <c r="R743">
        <f t="shared" si="107"/>
        <v>0.22941176470588232</v>
      </c>
    </row>
    <row r="744" spans="1:18">
      <c r="A744" t="s">
        <v>776</v>
      </c>
      <c r="B744" t="s">
        <v>25</v>
      </c>
      <c r="C744" t="str">
        <f t="shared" si="99"/>
        <v>Sales &amp; Marketing</v>
      </c>
      <c r="D744" t="s">
        <v>27</v>
      </c>
      <c r="E744" t="str">
        <f t="shared" si="100"/>
        <v>Technova</v>
      </c>
      <c r="F744">
        <v>24</v>
      </c>
      <c r="G744">
        <v>17000</v>
      </c>
      <c r="H744" s="1">
        <v>42024</v>
      </c>
      <c r="I744">
        <v>1</v>
      </c>
      <c r="J744" t="s">
        <v>21</v>
      </c>
      <c r="K744">
        <f t="shared" si="101"/>
        <v>1</v>
      </c>
      <c r="L744">
        <f t="shared" si="102"/>
        <v>5.8823529411764708E-5</v>
      </c>
      <c r="M744" t="b">
        <f t="shared" si="103"/>
        <v>1</v>
      </c>
      <c r="N744" t="b">
        <f t="shared" si="104"/>
        <v>1</v>
      </c>
      <c r="O744" t="s">
        <v>22</v>
      </c>
      <c r="P744">
        <f t="shared" si="105"/>
        <v>0.38235294117647056</v>
      </c>
      <c r="Q744">
        <f t="shared" si="106"/>
        <v>0</v>
      </c>
      <c r="R744">
        <f t="shared" si="107"/>
        <v>0.22941176470588232</v>
      </c>
    </row>
    <row r="745" spans="1:18">
      <c r="A745" t="s">
        <v>777</v>
      </c>
      <c r="B745" t="s">
        <v>67</v>
      </c>
      <c r="C745" t="str">
        <f t="shared" si="99"/>
        <v>Quality Assurance</v>
      </c>
      <c r="D745" t="s">
        <v>20</v>
      </c>
      <c r="E745" t="str">
        <f t="shared" si="100"/>
        <v>Dataverse</v>
      </c>
      <c r="F745">
        <v>20</v>
      </c>
      <c r="G745">
        <v>34000</v>
      </c>
      <c r="H745" s="1">
        <v>40952</v>
      </c>
      <c r="I745">
        <v>1</v>
      </c>
      <c r="J745" t="s">
        <v>57</v>
      </c>
      <c r="K745">
        <f t="shared" si="101"/>
        <v>2</v>
      </c>
      <c r="L745">
        <f t="shared" si="102"/>
        <v>5.8823529411764708E-5</v>
      </c>
      <c r="M745" t="b">
        <f t="shared" si="103"/>
        <v>1</v>
      </c>
      <c r="N745" t="b">
        <f t="shared" si="104"/>
        <v>1</v>
      </c>
      <c r="O745" t="s">
        <v>22</v>
      </c>
      <c r="P745">
        <f t="shared" si="105"/>
        <v>0.38235294117647056</v>
      </c>
      <c r="Q745">
        <f t="shared" si="106"/>
        <v>0</v>
      </c>
      <c r="R745">
        <f t="shared" si="107"/>
        <v>0.22941176470588232</v>
      </c>
    </row>
    <row r="746" spans="1:18">
      <c r="A746" t="s">
        <v>778</v>
      </c>
      <c r="B746" t="s">
        <v>19</v>
      </c>
      <c r="C746" t="str">
        <f t="shared" si="99"/>
        <v>Research &amp; Department</v>
      </c>
      <c r="D746" t="s">
        <v>27</v>
      </c>
      <c r="E746" t="str">
        <f t="shared" si="100"/>
        <v>Technova</v>
      </c>
      <c r="F746">
        <v>16</v>
      </c>
      <c r="G746">
        <v>21000</v>
      </c>
      <c r="H746" s="1">
        <v>39586</v>
      </c>
      <c r="I746">
        <v>2</v>
      </c>
      <c r="J746" t="s">
        <v>21</v>
      </c>
      <c r="K746">
        <f t="shared" si="101"/>
        <v>1</v>
      </c>
      <c r="L746">
        <f t="shared" si="102"/>
        <v>4.761904761904762E-5</v>
      </c>
      <c r="M746" t="b">
        <f t="shared" si="103"/>
        <v>1</v>
      </c>
      <c r="N746" t="b">
        <f t="shared" si="104"/>
        <v>1</v>
      </c>
      <c r="O746" t="s">
        <v>22</v>
      </c>
      <c r="P746">
        <f t="shared" si="105"/>
        <v>0.21428571428571427</v>
      </c>
      <c r="Q746">
        <f t="shared" si="106"/>
        <v>0.25</v>
      </c>
      <c r="R746">
        <f t="shared" si="107"/>
        <v>0.22857142857142856</v>
      </c>
    </row>
    <row r="747" spans="1:18">
      <c r="A747" t="s">
        <v>779</v>
      </c>
      <c r="B747" t="s">
        <v>74</v>
      </c>
      <c r="C747" t="str">
        <f t="shared" si="99"/>
        <v>Human Resources</v>
      </c>
      <c r="D747" t="s">
        <v>27</v>
      </c>
      <c r="E747" t="str">
        <f t="shared" si="100"/>
        <v>Technova</v>
      </c>
      <c r="F747">
        <v>21</v>
      </c>
      <c r="G747">
        <v>42000</v>
      </c>
      <c r="H747" s="1">
        <v>45458</v>
      </c>
      <c r="I747">
        <v>2</v>
      </c>
      <c r="J747" t="s">
        <v>57</v>
      </c>
      <c r="K747">
        <f t="shared" si="101"/>
        <v>2</v>
      </c>
      <c r="L747">
        <f t="shared" si="102"/>
        <v>4.761904761904762E-5</v>
      </c>
      <c r="M747" t="b">
        <f t="shared" si="103"/>
        <v>1</v>
      </c>
      <c r="N747" t="b">
        <f t="shared" si="104"/>
        <v>1</v>
      </c>
      <c r="O747" t="s">
        <v>22</v>
      </c>
      <c r="P747">
        <f t="shared" si="105"/>
        <v>0.21428571428571427</v>
      </c>
      <c r="Q747">
        <f t="shared" si="106"/>
        <v>0.25</v>
      </c>
      <c r="R747">
        <f t="shared" si="107"/>
        <v>0.22857142857142856</v>
      </c>
    </row>
    <row r="748" spans="1:18">
      <c r="A748" t="s">
        <v>780</v>
      </c>
      <c r="B748" t="s">
        <v>60</v>
      </c>
      <c r="C748" t="str">
        <f t="shared" si="99"/>
        <v>Manufacturing and operations</v>
      </c>
      <c r="D748" t="s">
        <v>27</v>
      </c>
      <c r="E748" t="str">
        <f t="shared" si="100"/>
        <v>Technova</v>
      </c>
      <c r="F748">
        <v>12</v>
      </c>
      <c r="G748">
        <v>42000</v>
      </c>
      <c r="H748" s="1">
        <v>40650</v>
      </c>
      <c r="I748">
        <v>2</v>
      </c>
      <c r="J748" t="s">
        <v>57</v>
      </c>
      <c r="K748">
        <f t="shared" si="101"/>
        <v>2</v>
      </c>
      <c r="L748">
        <f t="shared" si="102"/>
        <v>4.761904761904762E-5</v>
      </c>
      <c r="M748" t="b">
        <f t="shared" si="103"/>
        <v>0</v>
      </c>
      <c r="N748" t="b">
        <f t="shared" si="104"/>
        <v>1</v>
      </c>
      <c r="O748" t="s">
        <v>22</v>
      </c>
      <c r="P748">
        <f t="shared" si="105"/>
        <v>0.21428571428571427</v>
      </c>
      <c r="Q748">
        <f t="shared" si="106"/>
        <v>0.25</v>
      </c>
      <c r="R748">
        <f t="shared" si="107"/>
        <v>0.22857142857142856</v>
      </c>
    </row>
    <row r="749" spans="1:18">
      <c r="A749" t="s">
        <v>781</v>
      </c>
      <c r="B749" t="s">
        <v>60</v>
      </c>
      <c r="C749" t="str">
        <f t="shared" si="99"/>
        <v>Manufacturing and operations</v>
      </c>
      <c r="D749" t="s">
        <v>20</v>
      </c>
      <c r="E749" t="str">
        <f t="shared" si="100"/>
        <v>Dataverse</v>
      </c>
      <c r="F749">
        <v>10</v>
      </c>
      <c r="G749">
        <v>42000</v>
      </c>
      <c r="H749" s="1">
        <v>41328</v>
      </c>
      <c r="I749">
        <v>2</v>
      </c>
      <c r="J749" t="s">
        <v>57</v>
      </c>
      <c r="K749">
        <f t="shared" si="101"/>
        <v>2</v>
      </c>
      <c r="L749">
        <f t="shared" si="102"/>
        <v>4.761904761904762E-5</v>
      </c>
      <c r="M749" t="b">
        <f t="shared" si="103"/>
        <v>0</v>
      </c>
      <c r="N749" t="b">
        <f t="shared" si="104"/>
        <v>1</v>
      </c>
      <c r="O749" t="s">
        <v>22</v>
      </c>
      <c r="P749">
        <f t="shared" si="105"/>
        <v>0.21428571428571427</v>
      </c>
      <c r="Q749">
        <f t="shared" si="106"/>
        <v>0.25</v>
      </c>
      <c r="R749">
        <f t="shared" si="107"/>
        <v>0.22857142857142856</v>
      </c>
    </row>
    <row r="750" spans="1:18">
      <c r="A750" t="s">
        <v>782</v>
      </c>
      <c r="B750" t="s">
        <v>67</v>
      </c>
      <c r="C750" t="str">
        <f t="shared" si="99"/>
        <v>Quality Assurance</v>
      </c>
      <c r="D750" t="s">
        <v>27</v>
      </c>
      <c r="E750" t="str">
        <f t="shared" si="100"/>
        <v>Technova</v>
      </c>
      <c r="F750">
        <v>5</v>
      </c>
      <c r="G750">
        <v>42000</v>
      </c>
      <c r="H750" s="1">
        <v>38744</v>
      </c>
      <c r="I750">
        <v>2</v>
      </c>
      <c r="J750" t="s">
        <v>57</v>
      </c>
      <c r="K750">
        <f t="shared" si="101"/>
        <v>2</v>
      </c>
      <c r="L750">
        <f t="shared" si="102"/>
        <v>4.761904761904762E-5</v>
      </c>
      <c r="M750" t="b">
        <f t="shared" si="103"/>
        <v>0</v>
      </c>
      <c r="N750" t="b">
        <f t="shared" si="104"/>
        <v>0</v>
      </c>
      <c r="O750" t="s">
        <v>22</v>
      </c>
      <c r="P750">
        <f t="shared" si="105"/>
        <v>0.21428571428571427</v>
      </c>
      <c r="Q750">
        <f t="shared" si="106"/>
        <v>0.25</v>
      </c>
      <c r="R750">
        <f t="shared" si="107"/>
        <v>0.22857142857142856</v>
      </c>
    </row>
    <row r="751" spans="1:18">
      <c r="A751" t="s">
        <v>783</v>
      </c>
      <c r="B751" t="s">
        <v>67</v>
      </c>
      <c r="C751" t="str">
        <f t="shared" si="99"/>
        <v>Quality Assurance</v>
      </c>
      <c r="D751" t="s">
        <v>27</v>
      </c>
      <c r="E751" t="str">
        <f t="shared" si="100"/>
        <v>Technova</v>
      </c>
      <c r="F751">
        <v>16</v>
      </c>
      <c r="G751">
        <v>42000</v>
      </c>
      <c r="H751" s="1">
        <v>43096</v>
      </c>
      <c r="I751">
        <v>2</v>
      </c>
      <c r="J751" t="s">
        <v>57</v>
      </c>
      <c r="K751">
        <f t="shared" si="101"/>
        <v>2</v>
      </c>
      <c r="L751">
        <f t="shared" si="102"/>
        <v>4.761904761904762E-5</v>
      </c>
      <c r="M751" t="b">
        <f t="shared" si="103"/>
        <v>1</v>
      </c>
      <c r="N751" t="b">
        <f t="shared" si="104"/>
        <v>1</v>
      </c>
      <c r="O751" t="s">
        <v>22</v>
      </c>
      <c r="P751">
        <f t="shared" si="105"/>
        <v>0.21428571428571427</v>
      </c>
      <c r="Q751">
        <f t="shared" si="106"/>
        <v>0.25</v>
      </c>
      <c r="R751">
        <f t="shared" si="107"/>
        <v>0.22857142857142856</v>
      </c>
    </row>
    <row r="752" spans="1:18">
      <c r="A752" t="s">
        <v>784</v>
      </c>
      <c r="B752" t="s">
        <v>204</v>
      </c>
      <c r="C752" t="str">
        <f t="shared" si="99"/>
        <v>Administrative Services</v>
      </c>
      <c r="D752" t="s">
        <v>27</v>
      </c>
      <c r="E752" t="str">
        <f t="shared" si="100"/>
        <v>Technova</v>
      </c>
      <c r="F752">
        <v>5</v>
      </c>
      <c r="G752">
        <v>83000</v>
      </c>
      <c r="H752" s="1">
        <v>39605</v>
      </c>
      <c r="I752">
        <v>3</v>
      </c>
      <c r="J752" t="s">
        <v>174</v>
      </c>
      <c r="K752">
        <f t="shared" si="101"/>
        <v>3</v>
      </c>
      <c r="L752">
        <f t="shared" si="102"/>
        <v>3.614457831325301E-5</v>
      </c>
      <c r="M752" t="b">
        <f t="shared" si="103"/>
        <v>0</v>
      </c>
      <c r="N752" t="b">
        <f t="shared" si="104"/>
        <v>0</v>
      </c>
      <c r="O752" t="s">
        <v>22</v>
      </c>
      <c r="P752">
        <f t="shared" si="105"/>
        <v>4.2168674698795129E-2</v>
      </c>
      <c r="Q752">
        <f t="shared" si="106"/>
        <v>0.5</v>
      </c>
      <c r="R752">
        <f t="shared" si="107"/>
        <v>0.2253012048192771</v>
      </c>
    </row>
    <row r="753" spans="1:18">
      <c r="A753" t="s">
        <v>785</v>
      </c>
      <c r="B753" t="s">
        <v>70</v>
      </c>
      <c r="C753" t="str">
        <f t="shared" si="99"/>
        <v>Customer Experience</v>
      </c>
      <c r="D753" t="s">
        <v>20</v>
      </c>
      <c r="E753" t="str">
        <f t="shared" si="100"/>
        <v>Dataverse</v>
      </c>
      <c r="F753">
        <v>22</v>
      </c>
      <c r="G753">
        <v>83000</v>
      </c>
      <c r="H753" s="1">
        <v>41581</v>
      </c>
      <c r="I753">
        <v>3</v>
      </c>
      <c r="J753" t="s">
        <v>174</v>
      </c>
      <c r="K753">
        <f t="shared" si="101"/>
        <v>3</v>
      </c>
      <c r="L753">
        <f t="shared" si="102"/>
        <v>3.614457831325301E-5</v>
      </c>
      <c r="M753" t="b">
        <f t="shared" si="103"/>
        <v>1</v>
      </c>
      <c r="N753" t="b">
        <f t="shared" si="104"/>
        <v>1</v>
      </c>
      <c r="O753" t="s">
        <v>22</v>
      </c>
      <c r="P753">
        <f t="shared" si="105"/>
        <v>4.2168674698795129E-2</v>
      </c>
      <c r="Q753">
        <f t="shared" si="106"/>
        <v>0.5</v>
      </c>
      <c r="R753">
        <f t="shared" si="107"/>
        <v>0.2253012048192771</v>
      </c>
    </row>
    <row r="754" spans="1:18">
      <c r="A754" t="s">
        <v>786</v>
      </c>
      <c r="B754" t="s">
        <v>204</v>
      </c>
      <c r="C754" t="str">
        <f t="shared" si="99"/>
        <v>Administrative Services</v>
      </c>
      <c r="D754" t="s">
        <v>20</v>
      </c>
      <c r="E754" t="str">
        <f t="shared" si="100"/>
        <v>Dataverse</v>
      </c>
      <c r="F754">
        <v>12</v>
      </c>
      <c r="G754">
        <v>64000</v>
      </c>
      <c r="H754" s="1">
        <v>43643</v>
      </c>
      <c r="I754">
        <v>2</v>
      </c>
      <c r="J754" t="s">
        <v>174</v>
      </c>
      <c r="K754">
        <f t="shared" si="101"/>
        <v>3</v>
      </c>
      <c r="L754">
        <f t="shared" si="102"/>
        <v>4.6875000000000001E-5</v>
      </c>
      <c r="M754" t="b">
        <f t="shared" si="103"/>
        <v>0</v>
      </c>
      <c r="N754" t="b">
        <f t="shared" si="104"/>
        <v>1</v>
      </c>
      <c r="O754" t="s">
        <v>22</v>
      </c>
      <c r="P754">
        <f t="shared" si="105"/>
        <v>0.20312499999999997</v>
      </c>
      <c r="Q754">
        <f t="shared" si="106"/>
        <v>0.25</v>
      </c>
      <c r="R754">
        <f t="shared" si="107"/>
        <v>0.22187499999999999</v>
      </c>
    </row>
    <row r="755" spans="1:18">
      <c r="A755" t="s">
        <v>787</v>
      </c>
      <c r="B755" t="s">
        <v>70</v>
      </c>
      <c r="C755" t="str">
        <f t="shared" si="99"/>
        <v>Customer Experience</v>
      </c>
      <c r="D755" t="s">
        <v>20</v>
      </c>
      <c r="E755" t="str">
        <f t="shared" si="100"/>
        <v>Dataverse</v>
      </c>
      <c r="F755">
        <v>11</v>
      </c>
      <c r="G755">
        <v>84000</v>
      </c>
      <c r="H755" s="1">
        <v>40252</v>
      </c>
      <c r="I755">
        <v>3</v>
      </c>
      <c r="J755" t="s">
        <v>174</v>
      </c>
      <c r="K755">
        <f t="shared" si="101"/>
        <v>3</v>
      </c>
      <c r="L755">
        <f t="shared" si="102"/>
        <v>3.5714285714285717E-5</v>
      </c>
      <c r="M755" t="b">
        <f t="shared" si="103"/>
        <v>0</v>
      </c>
      <c r="N755" t="b">
        <f t="shared" si="104"/>
        <v>1</v>
      </c>
      <c r="O755" t="s">
        <v>22</v>
      </c>
      <c r="P755">
        <f t="shared" si="105"/>
        <v>3.5714285714285726E-2</v>
      </c>
      <c r="Q755">
        <f t="shared" si="106"/>
        <v>0.5</v>
      </c>
      <c r="R755">
        <f t="shared" si="107"/>
        <v>0.22142857142857145</v>
      </c>
    </row>
    <row r="756" spans="1:18">
      <c r="A756" t="s">
        <v>788</v>
      </c>
      <c r="B756" t="s">
        <v>70</v>
      </c>
      <c r="C756" t="str">
        <f t="shared" si="99"/>
        <v>Customer Experience</v>
      </c>
      <c r="D756" t="s">
        <v>20</v>
      </c>
      <c r="E756" t="str">
        <f t="shared" si="100"/>
        <v>Dataverse</v>
      </c>
      <c r="F756">
        <v>1</v>
      </c>
      <c r="G756">
        <v>84000</v>
      </c>
      <c r="H756" s="1">
        <v>41248</v>
      </c>
      <c r="I756">
        <v>3</v>
      </c>
      <c r="J756" t="s">
        <v>174</v>
      </c>
      <c r="K756">
        <f t="shared" si="101"/>
        <v>3</v>
      </c>
      <c r="L756">
        <f t="shared" si="102"/>
        <v>3.5714285714285717E-5</v>
      </c>
      <c r="M756" t="b">
        <f t="shared" si="103"/>
        <v>0</v>
      </c>
      <c r="N756" t="b">
        <f t="shared" si="104"/>
        <v>0</v>
      </c>
      <c r="O756" t="s">
        <v>22</v>
      </c>
      <c r="P756">
        <f t="shared" si="105"/>
        <v>3.5714285714285726E-2</v>
      </c>
      <c r="Q756">
        <f t="shared" si="106"/>
        <v>0.5</v>
      </c>
      <c r="R756">
        <f t="shared" si="107"/>
        <v>0.22142857142857145</v>
      </c>
    </row>
    <row r="757" spans="1:18">
      <c r="A757" t="s">
        <v>789</v>
      </c>
      <c r="B757" t="s">
        <v>70</v>
      </c>
      <c r="C757" t="str">
        <f t="shared" si="99"/>
        <v>Customer Experience</v>
      </c>
      <c r="D757" t="s">
        <v>27</v>
      </c>
      <c r="E757" t="str">
        <f t="shared" si="100"/>
        <v>Technova</v>
      </c>
      <c r="F757">
        <v>16</v>
      </c>
      <c r="G757">
        <v>84000</v>
      </c>
      <c r="H757" s="1">
        <v>41277</v>
      </c>
      <c r="I757">
        <v>3</v>
      </c>
      <c r="J757" t="s">
        <v>174</v>
      </c>
      <c r="K757">
        <f t="shared" si="101"/>
        <v>3</v>
      </c>
      <c r="L757">
        <f t="shared" si="102"/>
        <v>3.5714285714285717E-5</v>
      </c>
      <c r="M757" t="b">
        <f t="shared" si="103"/>
        <v>1</v>
      </c>
      <c r="N757" t="b">
        <f t="shared" si="104"/>
        <v>1</v>
      </c>
      <c r="O757" t="s">
        <v>22</v>
      </c>
      <c r="P757">
        <f t="shared" si="105"/>
        <v>3.5714285714285726E-2</v>
      </c>
      <c r="Q757">
        <f t="shared" si="106"/>
        <v>0.5</v>
      </c>
      <c r="R757">
        <f t="shared" si="107"/>
        <v>0.22142857142857145</v>
      </c>
    </row>
    <row r="758" spans="1:18">
      <c r="A758" t="s">
        <v>790</v>
      </c>
      <c r="B758" t="s">
        <v>70</v>
      </c>
      <c r="C758" t="str">
        <f t="shared" si="99"/>
        <v>Customer Experience</v>
      </c>
      <c r="D758" t="s">
        <v>27</v>
      </c>
      <c r="E758" t="str">
        <f t="shared" si="100"/>
        <v>Technova</v>
      </c>
      <c r="F758">
        <v>17</v>
      </c>
      <c r="G758">
        <v>43000</v>
      </c>
      <c r="H758" s="1">
        <v>42267</v>
      </c>
      <c r="I758">
        <v>2</v>
      </c>
      <c r="J758" t="s">
        <v>57</v>
      </c>
      <c r="K758">
        <f t="shared" si="101"/>
        <v>2</v>
      </c>
      <c r="L758">
        <f t="shared" si="102"/>
        <v>4.6511627906976741E-5</v>
      </c>
      <c r="M758" t="b">
        <f t="shared" si="103"/>
        <v>1</v>
      </c>
      <c r="N758" t="b">
        <f t="shared" si="104"/>
        <v>1</v>
      </c>
      <c r="O758" t="s">
        <v>22</v>
      </c>
      <c r="P758">
        <f t="shared" si="105"/>
        <v>0.1976744186046511</v>
      </c>
      <c r="Q758">
        <f t="shared" si="106"/>
        <v>0.25</v>
      </c>
      <c r="R758">
        <f t="shared" si="107"/>
        <v>0.21860465116279065</v>
      </c>
    </row>
    <row r="759" spans="1:18">
      <c r="A759" t="s">
        <v>791</v>
      </c>
      <c r="B759" t="s">
        <v>56</v>
      </c>
      <c r="C759" t="str">
        <f t="shared" si="99"/>
        <v>IT &amp; Systems</v>
      </c>
      <c r="D759" t="s">
        <v>27</v>
      </c>
      <c r="E759" t="str">
        <f t="shared" si="100"/>
        <v>Technova</v>
      </c>
      <c r="F759">
        <v>4</v>
      </c>
      <c r="G759">
        <v>43000</v>
      </c>
      <c r="H759" s="1">
        <v>41772</v>
      </c>
      <c r="I759">
        <v>2</v>
      </c>
      <c r="J759" t="s">
        <v>57</v>
      </c>
      <c r="K759">
        <f t="shared" si="101"/>
        <v>2</v>
      </c>
      <c r="L759">
        <f t="shared" si="102"/>
        <v>4.6511627906976741E-5</v>
      </c>
      <c r="M759" t="b">
        <f t="shared" si="103"/>
        <v>0</v>
      </c>
      <c r="N759" t="b">
        <f t="shared" si="104"/>
        <v>0</v>
      </c>
      <c r="O759" t="s">
        <v>22</v>
      </c>
      <c r="P759">
        <f t="shared" si="105"/>
        <v>0.1976744186046511</v>
      </c>
      <c r="Q759">
        <f t="shared" si="106"/>
        <v>0.25</v>
      </c>
      <c r="R759">
        <f t="shared" si="107"/>
        <v>0.21860465116279065</v>
      </c>
    </row>
    <row r="760" spans="1:18">
      <c r="A760" t="s">
        <v>792</v>
      </c>
      <c r="B760" t="s">
        <v>60</v>
      </c>
      <c r="C760" t="str">
        <f t="shared" si="99"/>
        <v>Manufacturing and operations</v>
      </c>
      <c r="D760" t="s">
        <v>27</v>
      </c>
      <c r="E760" t="str">
        <f t="shared" si="100"/>
        <v>Technova</v>
      </c>
      <c r="F760">
        <v>12</v>
      </c>
      <c r="G760">
        <v>43000</v>
      </c>
      <c r="H760" s="1">
        <v>41997</v>
      </c>
      <c r="I760">
        <v>2</v>
      </c>
      <c r="J760" t="s">
        <v>57</v>
      </c>
      <c r="K760">
        <f t="shared" si="101"/>
        <v>2</v>
      </c>
      <c r="L760">
        <f t="shared" si="102"/>
        <v>4.6511627906976741E-5</v>
      </c>
      <c r="M760" t="b">
        <f t="shared" si="103"/>
        <v>0</v>
      </c>
      <c r="N760" t="b">
        <f t="shared" si="104"/>
        <v>1</v>
      </c>
      <c r="O760" t="s">
        <v>22</v>
      </c>
      <c r="P760">
        <f t="shared" si="105"/>
        <v>0.1976744186046511</v>
      </c>
      <c r="Q760">
        <f t="shared" si="106"/>
        <v>0.25</v>
      </c>
      <c r="R760">
        <f t="shared" si="107"/>
        <v>0.21860465116279065</v>
      </c>
    </row>
    <row r="761" spans="1:18">
      <c r="A761" t="s">
        <v>793</v>
      </c>
      <c r="B761" t="s">
        <v>60</v>
      </c>
      <c r="C761" t="str">
        <f t="shared" si="99"/>
        <v>Manufacturing and operations</v>
      </c>
      <c r="D761" t="s">
        <v>27</v>
      </c>
      <c r="E761" t="str">
        <f t="shared" si="100"/>
        <v>Technova</v>
      </c>
      <c r="F761">
        <v>2</v>
      </c>
      <c r="G761">
        <v>43000</v>
      </c>
      <c r="H761" s="1">
        <v>42891</v>
      </c>
      <c r="I761">
        <v>2</v>
      </c>
      <c r="J761" t="s">
        <v>57</v>
      </c>
      <c r="K761">
        <f t="shared" si="101"/>
        <v>2</v>
      </c>
      <c r="L761">
        <f t="shared" si="102"/>
        <v>4.6511627906976741E-5</v>
      </c>
      <c r="M761" t="b">
        <f t="shared" si="103"/>
        <v>0</v>
      </c>
      <c r="N761" t="b">
        <f t="shared" si="104"/>
        <v>0</v>
      </c>
      <c r="O761" t="s">
        <v>22</v>
      </c>
      <c r="P761">
        <f t="shared" si="105"/>
        <v>0.1976744186046511</v>
      </c>
      <c r="Q761">
        <f t="shared" si="106"/>
        <v>0.25</v>
      </c>
      <c r="R761">
        <f t="shared" si="107"/>
        <v>0.21860465116279065</v>
      </c>
    </row>
    <row r="762" spans="1:18">
      <c r="A762" t="s">
        <v>794</v>
      </c>
      <c r="B762" t="s">
        <v>60</v>
      </c>
      <c r="C762" t="str">
        <f t="shared" si="99"/>
        <v>Manufacturing and operations</v>
      </c>
      <c r="D762" t="s">
        <v>20</v>
      </c>
      <c r="E762" t="str">
        <f t="shared" si="100"/>
        <v>Dataverse</v>
      </c>
      <c r="F762">
        <v>4</v>
      </c>
      <c r="G762">
        <v>43000</v>
      </c>
      <c r="H762" s="1">
        <v>43691</v>
      </c>
      <c r="I762">
        <v>2</v>
      </c>
      <c r="J762" t="s">
        <v>57</v>
      </c>
      <c r="K762">
        <f t="shared" si="101"/>
        <v>2</v>
      </c>
      <c r="L762">
        <f t="shared" si="102"/>
        <v>4.6511627906976741E-5</v>
      </c>
      <c r="M762" t="b">
        <f t="shared" si="103"/>
        <v>0</v>
      </c>
      <c r="N762" t="b">
        <f t="shared" si="104"/>
        <v>0</v>
      </c>
      <c r="O762" t="s">
        <v>22</v>
      </c>
      <c r="P762">
        <f t="shared" si="105"/>
        <v>0.1976744186046511</v>
      </c>
      <c r="Q762">
        <f t="shared" si="106"/>
        <v>0.25</v>
      </c>
      <c r="R762">
        <f t="shared" si="107"/>
        <v>0.21860465116279065</v>
      </c>
    </row>
    <row r="763" spans="1:18">
      <c r="A763" t="s">
        <v>795</v>
      </c>
      <c r="B763" t="s">
        <v>67</v>
      </c>
      <c r="C763" t="str">
        <f t="shared" si="99"/>
        <v>Quality Assurance</v>
      </c>
      <c r="D763" t="s">
        <v>20</v>
      </c>
      <c r="E763" t="str">
        <f t="shared" si="100"/>
        <v>Dataverse</v>
      </c>
      <c r="F763">
        <v>19</v>
      </c>
      <c r="G763">
        <v>43000</v>
      </c>
      <c r="H763" s="1">
        <v>38387</v>
      </c>
      <c r="I763">
        <v>2</v>
      </c>
      <c r="J763" t="s">
        <v>57</v>
      </c>
      <c r="K763">
        <f t="shared" si="101"/>
        <v>2</v>
      </c>
      <c r="L763">
        <f t="shared" si="102"/>
        <v>4.6511627906976741E-5</v>
      </c>
      <c r="M763" t="b">
        <f t="shared" si="103"/>
        <v>1</v>
      </c>
      <c r="N763" t="b">
        <f t="shared" si="104"/>
        <v>1</v>
      </c>
      <c r="O763" t="s">
        <v>22</v>
      </c>
      <c r="P763">
        <f t="shared" si="105"/>
        <v>0.1976744186046511</v>
      </c>
      <c r="Q763">
        <f t="shared" si="106"/>
        <v>0.25</v>
      </c>
      <c r="R763">
        <f t="shared" si="107"/>
        <v>0.21860465116279065</v>
      </c>
    </row>
    <row r="764" spans="1:18">
      <c r="A764" t="s">
        <v>796</v>
      </c>
      <c r="B764" t="s">
        <v>204</v>
      </c>
      <c r="C764" t="str">
        <f t="shared" si="99"/>
        <v>Administrative Services</v>
      </c>
      <c r="D764" t="s">
        <v>20</v>
      </c>
      <c r="E764" t="str">
        <f t="shared" si="100"/>
        <v>Dataverse</v>
      </c>
      <c r="F764">
        <v>1</v>
      </c>
      <c r="G764">
        <v>85000</v>
      </c>
      <c r="H764" s="1">
        <v>44579</v>
      </c>
      <c r="I764">
        <v>3</v>
      </c>
      <c r="J764" t="s">
        <v>174</v>
      </c>
      <c r="K764">
        <f t="shared" si="101"/>
        <v>3</v>
      </c>
      <c r="L764">
        <f t="shared" si="102"/>
        <v>3.529411764705882E-5</v>
      </c>
      <c r="M764" t="b">
        <f t="shared" si="103"/>
        <v>0</v>
      </c>
      <c r="N764" t="b">
        <f t="shared" si="104"/>
        <v>0</v>
      </c>
      <c r="O764" t="s">
        <v>22</v>
      </c>
      <c r="P764">
        <f t="shared" si="105"/>
        <v>2.941176470588228E-2</v>
      </c>
      <c r="Q764">
        <f t="shared" si="106"/>
        <v>0.5</v>
      </c>
      <c r="R764">
        <f t="shared" si="107"/>
        <v>0.21764705882352939</v>
      </c>
    </row>
    <row r="765" spans="1:18">
      <c r="A765" t="s">
        <v>797</v>
      </c>
      <c r="B765" t="s">
        <v>224</v>
      </c>
      <c r="C765" t="str">
        <f t="shared" si="99"/>
        <v>Business Strategy</v>
      </c>
      <c r="D765" t="s">
        <v>27</v>
      </c>
      <c r="E765" t="str">
        <f t="shared" si="100"/>
        <v>Technova</v>
      </c>
      <c r="F765">
        <v>25</v>
      </c>
      <c r="G765">
        <v>65000</v>
      </c>
      <c r="H765" s="1">
        <v>41001</v>
      </c>
      <c r="I765">
        <v>2</v>
      </c>
      <c r="J765" t="s">
        <v>174</v>
      </c>
      <c r="K765">
        <f t="shared" si="101"/>
        <v>3</v>
      </c>
      <c r="L765">
        <f t="shared" si="102"/>
        <v>4.6153846153846151E-5</v>
      </c>
      <c r="M765" t="b">
        <f t="shared" si="103"/>
        <v>1</v>
      </c>
      <c r="N765" t="b">
        <f t="shared" si="104"/>
        <v>1</v>
      </c>
      <c r="O765" t="s">
        <v>22</v>
      </c>
      <c r="P765">
        <f t="shared" si="105"/>
        <v>0.19230769230769224</v>
      </c>
      <c r="Q765">
        <f t="shared" si="106"/>
        <v>0.25</v>
      </c>
      <c r="R765">
        <f t="shared" si="107"/>
        <v>0.21538461538461534</v>
      </c>
    </row>
    <row r="766" spans="1:18">
      <c r="A766" t="s">
        <v>798</v>
      </c>
      <c r="B766" t="s">
        <v>224</v>
      </c>
      <c r="C766" t="str">
        <f t="shared" si="99"/>
        <v>Business Strategy</v>
      </c>
      <c r="D766" t="s">
        <v>27</v>
      </c>
      <c r="E766" t="str">
        <f t="shared" si="100"/>
        <v>Technova</v>
      </c>
      <c r="F766">
        <v>2</v>
      </c>
      <c r="G766">
        <v>65000</v>
      </c>
      <c r="H766" s="1">
        <v>40754</v>
      </c>
      <c r="I766">
        <v>2</v>
      </c>
      <c r="J766" t="s">
        <v>174</v>
      </c>
      <c r="K766">
        <f t="shared" si="101"/>
        <v>3</v>
      </c>
      <c r="L766">
        <f t="shared" si="102"/>
        <v>4.6153846153846151E-5</v>
      </c>
      <c r="M766" t="b">
        <f t="shared" si="103"/>
        <v>0</v>
      </c>
      <c r="N766" t="b">
        <f t="shared" si="104"/>
        <v>0</v>
      </c>
      <c r="O766" t="s">
        <v>22</v>
      </c>
      <c r="P766">
        <f t="shared" si="105"/>
        <v>0.19230769230769224</v>
      </c>
      <c r="Q766">
        <f t="shared" si="106"/>
        <v>0.25</v>
      </c>
      <c r="R766">
        <f t="shared" si="107"/>
        <v>0.21538461538461534</v>
      </c>
    </row>
    <row r="767" spans="1:18">
      <c r="A767" t="s">
        <v>799</v>
      </c>
      <c r="B767" t="s">
        <v>70</v>
      </c>
      <c r="C767" t="str">
        <f t="shared" si="99"/>
        <v>Customer Experience</v>
      </c>
      <c r="D767" t="s">
        <v>27</v>
      </c>
      <c r="E767" t="str">
        <f t="shared" si="100"/>
        <v>Technova</v>
      </c>
      <c r="F767">
        <v>23</v>
      </c>
      <c r="G767">
        <v>35000</v>
      </c>
      <c r="H767" s="1">
        <v>43234</v>
      </c>
      <c r="I767">
        <v>1</v>
      </c>
      <c r="J767" t="s">
        <v>57</v>
      </c>
      <c r="K767">
        <f t="shared" si="101"/>
        <v>2</v>
      </c>
      <c r="L767">
        <f t="shared" si="102"/>
        <v>5.7142857142857142E-5</v>
      </c>
      <c r="M767" t="b">
        <f t="shared" si="103"/>
        <v>1</v>
      </c>
      <c r="N767" t="b">
        <f t="shared" si="104"/>
        <v>1</v>
      </c>
      <c r="O767" t="s">
        <v>22</v>
      </c>
      <c r="P767">
        <f t="shared" si="105"/>
        <v>0.3571428571428571</v>
      </c>
      <c r="Q767">
        <f t="shared" si="106"/>
        <v>0</v>
      </c>
      <c r="R767">
        <f t="shared" si="107"/>
        <v>0.21428571428571425</v>
      </c>
    </row>
    <row r="768" spans="1:18">
      <c r="A768" t="s">
        <v>800</v>
      </c>
      <c r="B768" t="s">
        <v>102</v>
      </c>
      <c r="C768" t="str">
        <f t="shared" si="99"/>
        <v>Finance</v>
      </c>
      <c r="D768" t="s">
        <v>20</v>
      </c>
      <c r="E768" t="str">
        <f t="shared" si="100"/>
        <v>Dataverse</v>
      </c>
      <c r="F768">
        <v>18</v>
      </c>
      <c r="G768">
        <v>35000</v>
      </c>
      <c r="H768" s="1">
        <v>44836</v>
      </c>
      <c r="I768">
        <v>1</v>
      </c>
      <c r="J768" t="s">
        <v>57</v>
      </c>
      <c r="K768">
        <f t="shared" si="101"/>
        <v>2</v>
      </c>
      <c r="L768">
        <f t="shared" si="102"/>
        <v>5.7142857142857142E-5</v>
      </c>
      <c r="M768" t="b">
        <f t="shared" si="103"/>
        <v>1</v>
      </c>
      <c r="N768" t="b">
        <f t="shared" si="104"/>
        <v>1</v>
      </c>
      <c r="O768" t="s">
        <v>22</v>
      </c>
      <c r="P768">
        <f t="shared" si="105"/>
        <v>0.3571428571428571</v>
      </c>
      <c r="Q768">
        <f t="shared" si="106"/>
        <v>0</v>
      </c>
      <c r="R768">
        <f t="shared" si="107"/>
        <v>0.21428571428571425</v>
      </c>
    </row>
    <row r="769" spans="1:18">
      <c r="A769" t="s">
        <v>801</v>
      </c>
      <c r="B769" t="s">
        <v>102</v>
      </c>
      <c r="C769" t="str">
        <f t="shared" si="99"/>
        <v>Finance</v>
      </c>
      <c r="D769" t="s">
        <v>20</v>
      </c>
      <c r="E769" t="str">
        <f t="shared" si="100"/>
        <v>Dataverse</v>
      </c>
      <c r="F769">
        <v>14</v>
      </c>
      <c r="G769">
        <v>35000</v>
      </c>
      <c r="H769" s="1">
        <v>43092</v>
      </c>
      <c r="I769">
        <v>1</v>
      </c>
      <c r="J769" t="s">
        <v>57</v>
      </c>
      <c r="K769">
        <f t="shared" si="101"/>
        <v>2</v>
      </c>
      <c r="L769">
        <f t="shared" si="102"/>
        <v>5.7142857142857142E-5</v>
      </c>
      <c r="M769" t="b">
        <f t="shared" si="103"/>
        <v>0</v>
      </c>
      <c r="N769" t="b">
        <f t="shared" si="104"/>
        <v>1</v>
      </c>
      <c r="O769" t="s">
        <v>22</v>
      </c>
      <c r="P769">
        <f t="shared" si="105"/>
        <v>0.3571428571428571</v>
      </c>
      <c r="Q769">
        <f t="shared" si="106"/>
        <v>0</v>
      </c>
      <c r="R769">
        <f t="shared" si="107"/>
        <v>0.21428571428571425</v>
      </c>
    </row>
    <row r="770" spans="1:18">
      <c r="A770" t="s">
        <v>802</v>
      </c>
      <c r="B770" t="s">
        <v>60</v>
      </c>
      <c r="C770" t="str">
        <f t="shared" ref="C770:C833" si="108">TRIM(B770)</f>
        <v>Manufacturing and operations</v>
      </c>
      <c r="D770" t="s">
        <v>20</v>
      </c>
      <c r="E770" t="str">
        <f t="shared" ref="E770:E833" si="109">TRIM(D770)</f>
        <v>Dataverse</v>
      </c>
      <c r="F770">
        <v>2</v>
      </c>
      <c r="G770">
        <v>35000</v>
      </c>
      <c r="H770" s="1">
        <v>41608</v>
      </c>
      <c r="I770">
        <v>1</v>
      </c>
      <c r="J770" t="s">
        <v>57</v>
      </c>
      <c r="K770">
        <f t="shared" ref="K770:K833" si="110">IF(J770="A", 3, IF(J770="B", 2, 1))</f>
        <v>2</v>
      </c>
      <c r="L770">
        <f t="shared" ref="L770:L833" si="111">K770/G770</f>
        <v>5.7142857142857142E-5</v>
      </c>
      <c r="M770" t="b">
        <f t="shared" ref="M770:M833" si="112">IF(F770&gt;15, TRUE, FALSE)</f>
        <v>0</v>
      </c>
      <c r="N770" t="b">
        <f t="shared" ref="N770:N833" si="113">IF(F770&gt;5, TRUE, FALSE)</f>
        <v>0</v>
      </c>
      <c r="O770" t="s">
        <v>22</v>
      </c>
      <c r="P770">
        <f t="shared" ref="P770:P833" si="114">(L770-MIN(L:L))/(MAX(L:L)-MIN(L:L))</f>
        <v>0.3571428571428571</v>
      </c>
      <c r="Q770">
        <f t="shared" ref="Q770:Q833" si="115">(I770-1)/4</f>
        <v>0</v>
      </c>
      <c r="R770">
        <f t="shared" ref="R770:R833" si="116">(0.6*P770)+(0.4*Q770)</f>
        <v>0.21428571428571425</v>
      </c>
    </row>
    <row r="771" spans="1:18">
      <c r="A771" t="s">
        <v>803</v>
      </c>
      <c r="B771" t="s">
        <v>204</v>
      </c>
      <c r="C771" t="str">
        <f t="shared" si="108"/>
        <v>Administrative Services</v>
      </c>
      <c r="D771" t="s">
        <v>27</v>
      </c>
      <c r="E771" t="str">
        <f t="shared" si="109"/>
        <v>Technova</v>
      </c>
      <c r="F771">
        <v>11</v>
      </c>
      <c r="G771">
        <v>86000</v>
      </c>
      <c r="H771" s="1">
        <v>44681</v>
      </c>
      <c r="I771">
        <v>3</v>
      </c>
      <c r="J771" t="s">
        <v>174</v>
      </c>
      <c r="K771">
        <f t="shared" si="110"/>
        <v>3</v>
      </c>
      <c r="L771">
        <f t="shared" si="111"/>
        <v>3.4883720930232556E-5</v>
      </c>
      <c r="M771" t="b">
        <f t="shared" si="112"/>
        <v>0</v>
      </c>
      <c r="N771" t="b">
        <f t="shared" si="113"/>
        <v>1</v>
      </c>
      <c r="O771" t="s">
        <v>22</v>
      </c>
      <c r="P771">
        <f t="shared" si="114"/>
        <v>2.3255813953488316E-2</v>
      </c>
      <c r="Q771">
        <f t="shared" si="115"/>
        <v>0.5</v>
      </c>
      <c r="R771">
        <f t="shared" si="116"/>
        <v>0.21395348837209299</v>
      </c>
    </row>
    <row r="772" spans="1:18">
      <c r="A772" t="s">
        <v>804</v>
      </c>
      <c r="B772" t="s">
        <v>19</v>
      </c>
      <c r="C772" t="str">
        <f t="shared" si="108"/>
        <v>Research &amp; Department</v>
      </c>
      <c r="D772" t="s">
        <v>20</v>
      </c>
      <c r="E772" t="str">
        <f t="shared" si="109"/>
        <v>Dataverse</v>
      </c>
      <c r="F772">
        <v>4</v>
      </c>
      <c r="G772">
        <v>29000</v>
      </c>
      <c r="H772" s="1">
        <v>43115</v>
      </c>
      <c r="I772">
        <v>3</v>
      </c>
      <c r="J772" t="s">
        <v>21</v>
      </c>
      <c r="K772">
        <f t="shared" si="110"/>
        <v>1</v>
      </c>
      <c r="L772">
        <f t="shared" si="111"/>
        <v>3.4482758620689657E-5</v>
      </c>
      <c r="M772" t="b">
        <f t="shared" si="112"/>
        <v>0</v>
      </c>
      <c r="N772" t="b">
        <f t="shared" si="113"/>
        <v>0</v>
      </c>
      <c r="O772" t="s">
        <v>22</v>
      </c>
      <c r="P772">
        <f t="shared" si="114"/>
        <v>1.7241379310344824E-2</v>
      </c>
      <c r="Q772">
        <f t="shared" si="115"/>
        <v>0.5</v>
      </c>
      <c r="R772">
        <f t="shared" si="116"/>
        <v>0.2103448275862069</v>
      </c>
    </row>
    <row r="773" spans="1:18">
      <c r="A773" t="s">
        <v>805</v>
      </c>
      <c r="B773" t="s">
        <v>25</v>
      </c>
      <c r="C773" t="str">
        <f t="shared" si="108"/>
        <v>Sales &amp; Marketing</v>
      </c>
      <c r="D773" t="s">
        <v>20</v>
      </c>
      <c r="E773" t="str">
        <f t="shared" si="109"/>
        <v>Dataverse</v>
      </c>
      <c r="F773">
        <v>25</v>
      </c>
      <c r="G773">
        <v>29000</v>
      </c>
      <c r="H773" s="1">
        <v>42795</v>
      </c>
      <c r="I773">
        <v>3</v>
      </c>
      <c r="J773" t="s">
        <v>21</v>
      </c>
      <c r="K773">
        <f t="shared" si="110"/>
        <v>1</v>
      </c>
      <c r="L773">
        <f t="shared" si="111"/>
        <v>3.4482758620689657E-5</v>
      </c>
      <c r="M773" t="b">
        <f t="shared" si="112"/>
        <v>1</v>
      </c>
      <c r="N773" t="b">
        <f t="shared" si="113"/>
        <v>1</v>
      </c>
      <c r="O773" t="s">
        <v>22</v>
      </c>
      <c r="P773">
        <f t="shared" si="114"/>
        <v>1.7241379310344824E-2</v>
      </c>
      <c r="Q773">
        <f t="shared" si="115"/>
        <v>0.5</v>
      </c>
      <c r="R773">
        <f t="shared" si="116"/>
        <v>0.2103448275862069</v>
      </c>
    </row>
    <row r="774" spans="1:18">
      <c r="A774" t="s">
        <v>806</v>
      </c>
      <c r="B774" t="s">
        <v>70</v>
      </c>
      <c r="C774" t="str">
        <f t="shared" si="108"/>
        <v>Customer Experience</v>
      </c>
      <c r="D774" t="s">
        <v>20</v>
      </c>
      <c r="E774" t="str">
        <f t="shared" si="109"/>
        <v>Dataverse</v>
      </c>
      <c r="F774">
        <v>6</v>
      </c>
      <c r="G774">
        <v>44000</v>
      </c>
      <c r="H774" s="1">
        <v>40834</v>
      </c>
      <c r="I774">
        <v>2</v>
      </c>
      <c r="J774" t="s">
        <v>57</v>
      </c>
      <c r="K774">
        <f t="shared" si="110"/>
        <v>2</v>
      </c>
      <c r="L774">
        <f t="shared" si="111"/>
        <v>4.5454545454545452E-5</v>
      </c>
      <c r="M774" t="b">
        <f t="shared" si="112"/>
        <v>0</v>
      </c>
      <c r="N774" t="b">
        <f t="shared" si="113"/>
        <v>1</v>
      </c>
      <c r="O774" t="s">
        <v>22</v>
      </c>
      <c r="P774">
        <f t="shared" si="114"/>
        <v>0.18181818181818174</v>
      </c>
      <c r="Q774">
        <f t="shared" si="115"/>
        <v>0.25</v>
      </c>
      <c r="R774">
        <f t="shared" si="116"/>
        <v>0.20909090909090905</v>
      </c>
    </row>
    <row r="775" spans="1:18">
      <c r="A775" t="s">
        <v>807</v>
      </c>
      <c r="B775" t="s">
        <v>102</v>
      </c>
      <c r="C775" t="str">
        <f t="shared" si="108"/>
        <v>Finance</v>
      </c>
      <c r="D775" t="s">
        <v>20</v>
      </c>
      <c r="E775" t="str">
        <f t="shared" si="109"/>
        <v>Dataverse</v>
      </c>
      <c r="F775">
        <v>14</v>
      </c>
      <c r="G775">
        <v>44000</v>
      </c>
      <c r="H775" s="1">
        <v>43312</v>
      </c>
      <c r="I775">
        <v>2</v>
      </c>
      <c r="J775" t="s">
        <v>57</v>
      </c>
      <c r="K775">
        <f t="shared" si="110"/>
        <v>2</v>
      </c>
      <c r="L775">
        <f t="shared" si="111"/>
        <v>4.5454545454545452E-5</v>
      </c>
      <c r="M775" t="b">
        <f t="shared" si="112"/>
        <v>0</v>
      </c>
      <c r="N775" t="b">
        <f t="shared" si="113"/>
        <v>1</v>
      </c>
      <c r="O775" t="s">
        <v>22</v>
      </c>
      <c r="P775">
        <f t="shared" si="114"/>
        <v>0.18181818181818174</v>
      </c>
      <c r="Q775">
        <f t="shared" si="115"/>
        <v>0.25</v>
      </c>
      <c r="R775">
        <f t="shared" si="116"/>
        <v>0.20909090909090905</v>
      </c>
    </row>
    <row r="776" spans="1:18">
      <c r="A776" t="s">
        <v>808</v>
      </c>
      <c r="B776" t="s">
        <v>74</v>
      </c>
      <c r="C776" t="str">
        <f t="shared" si="108"/>
        <v>Human Resources</v>
      </c>
      <c r="D776" t="s">
        <v>27</v>
      </c>
      <c r="E776" t="str">
        <f t="shared" si="109"/>
        <v>Technova</v>
      </c>
      <c r="F776">
        <v>14</v>
      </c>
      <c r="G776">
        <v>44000</v>
      </c>
      <c r="H776" s="1">
        <v>38905</v>
      </c>
      <c r="I776">
        <v>2</v>
      </c>
      <c r="J776" t="s">
        <v>57</v>
      </c>
      <c r="K776">
        <f t="shared" si="110"/>
        <v>2</v>
      </c>
      <c r="L776">
        <f t="shared" si="111"/>
        <v>4.5454545454545452E-5</v>
      </c>
      <c r="M776" t="b">
        <f t="shared" si="112"/>
        <v>0</v>
      </c>
      <c r="N776" t="b">
        <f t="shared" si="113"/>
        <v>1</v>
      </c>
      <c r="O776" t="s">
        <v>22</v>
      </c>
      <c r="P776">
        <f t="shared" si="114"/>
        <v>0.18181818181818174</v>
      </c>
      <c r="Q776">
        <f t="shared" si="115"/>
        <v>0.25</v>
      </c>
      <c r="R776">
        <f t="shared" si="116"/>
        <v>0.20909090909090905</v>
      </c>
    </row>
    <row r="777" spans="1:18">
      <c r="A777" t="s">
        <v>809</v>
      </c>
      <c r="B777" t="s">
        <v>60</v>
      </c>
      <c r="C777" t="str">
        <f t="shared" si="108"/>
        <v>Manufacturing and operations</v>
      </c>
      <c r="D777" t="s">
        <v>27</v>
      </c>
      <c r="E777" t="str">
        <f t="shared" si="109"/>
        <v>Technova</v>
      </c>
      <c r="F777">
        <v>5</v>
      </c>
      <c r="G777">
        <v>44000</v>
      </c>
      <c r="H777" s="1">
        <v>40372</v>
      </c>
      <c r="I777">
        <v>2</v>
      </c>
      <c r="J777" t="s">
        <v>57</v>
      </c>
      <c r="K777">
        <f t="shared" si="110"/>
        <v>2</v>
      </c>
      <c r="L777">
        <f t="shared" si="111"/>
        <v>4.5454545454545452E-5</v>
      </c>
      <c r="M777" t="b">
        <f t="shared" si="112"/>
        <v>0</v>
      </c>
      <c r="N777" t="b">
        <f t="shared" si="113"/>
        <v>0</v>
      </c>
      <c r="O777" t="s">
        <v>22</v>
      </c>
      <c r="P777">
        <f t="shared" si="114"/>
        <v>0.18181818181818174</v>
      </c>
      <c r="Q777">
        <f t="shared" si="115"/>
        <v>0.25</v>
      </c>
      <c r="R777">
        <f t="shared" si="116"/>
        <v>0.20909090909090905</v>
      </c>
    </row>
    <row r="778" spans="1:18">
      <c r="A778" t="s">
        <v>810</v>
      </c>
      <c r="B778" t="s">
        <v>60</v>
      </c>
      <c r="C778" t="str">
        <f t="shared" si="108"/>
        <v>Manufacturing and operations</v>
      </c>
      <c r="D778" t="s">
        <v>20</v>
      </c>
      <c r="E778" t="str">
        <f t="shared" si="109"/>
        <v>Dataverse</v>
      </c>
      <c r="F778">
        <v>2</v>
      </c>
      <c r="G778">
        <v>44000</v>
      </c>
      <c r="H778" s="1">
        <v>43384</v>
      </c>
      <c r="I778">
        <v>2</v>
      </c>
      <c r="J778" t="s">
        <v>57</v>
      </c>
      <c r="K778">
        <f t="shared" si="110"/>
        <v>2</v>
      </c>
      <c r="L778">
        <f t="shared" si="111"/>
        <v>4.5454545454545452E-5</v>
      </c>
      <c r="M778" t="b">
        <f t="shared" si="112"/>
        <v>0</v>
      </c>
      <c r="N778" t="b">
        <f t="shared" si="113"/>
        <v>0</v>
      </c>
      <c r="O778" t="s">
        <v>22</v>
      </c>
      <c r="P778">
        <f t="shared" si="114"/>
        <v>0.18181818181818174</v>
      </c>
      <c r="Q778">
        <f t="shared" si="115"/>
        <v>0.25</v>
      </c>
      <c r="R778">
        <f t="shared" si="116"/>
        <v>0.20909090909090905</v>
      </c>
    </row>
    <row r="779" spans="1:18">
      <c r="A779" t="s">
        <v>811</v>
      </c>
      <c r="B779" t="s">
        <v>60</v>
      </c>
      <c r="C779" t="str">
        <f t="shared" si="108"/>
        <v>Manufacturing and operations</v>
      </c>
      <c r="D779" t="s">
        <v>20</v>
      </c>
      <c r="E779" t="str">
        <f t="shared" si="109"/>
        <v>Dataverse</v>
      </c>
      <c r="F779">
        <v>9</v>
      </c>
      <c r="G779">
        <v>44000</v>
      </c>
      <c r="H779" s="1">
        <v>38642</v>
      </c>
      <c r="I779">
        <v>2</v>
      </c>
      <c r="J779" t="s">
        <v>57</v>
      </c>
      <c r="K779">
        <f t="shared" si="110"/>
        <v>2</v>
      </c>
      <c r="L779">
        <f t="shared" si="111"/>
        <v>4.5454545454545452E-5</v>
      </c>
      <c r="M779" t="b">
        <f t="shared" si="112"/>
        <v>0</v>
      </c>
      <c r="N779" t="b">
        <f t="shared" si="113"/>
        <v>1</v>
      </c>
      <c r="O779" t="s">
        <v>22</v>
      </c>
      <c r="P779">
        <f t="shared" si="114"/>
        <v>0.18181818181818174</v>
      </c>
      <c r="Q779">
        <f t="shared" si="115"/>
        <v>0.25</v>
      </c>
      <c r="R779">
        <f t="shared" si="116"/>
        <v>0.20909090909090905</v>
      </c>
    </row>
    <row r="780" spans="1:18">
      <c r="A780" t="s">
        <v>812</v>
      </c>
      <c r="B780" t="s">
        <v>60</v>
      </c>
      <c r="C780" t="str">
        <f t="shared" si="108"/>
        <v>Manufacturing and operations</v>
      </c>
      <c r="D780" t="s">
        <v>27</v>
      </c>
      <c r="E780" t="str">
        <f t="shared" si="109"/>
        <v>Technova</v>
      </c>
      <c r="F780">
        <v>4</v>
      </c>
      <c r="G780">
        <v>44000</v>
      </c>
      <c r="H780" s="1">
        <v>40099</v>
      </c>
      <c r="I780">
        <v>2</v>
      </c>
      <c r="J780" t="s">
        <v>57</v>
      </c>
      <c r="K780">
        <f t="shared" si="110"/>
        <v>2</v>
      </c>
      <c r="L780">
        <f t="shared" si="111"/>
        <v>4.5454545454545452E-5</v>
      </c>
      <c r="M780" t="b">
        <f t="shared" si="112"/>
        <v>0</v>
      </c>
      <c r="N780" t="b">
        <f t="shared" si="113"/>
        <v>0</v>
      </c>
      <c r="O780" t="s">
        <v>22</v>
      </c>
      <c r="P780">
        <f t="shared" si="114"/>
        <v>0.18181818181818174</v>
      </c>
      <c r="Q780">
        <f t="shared" si="115"/>
        <v>0.25</v>
      </c>
      <c r="R780">
        <f t="shared" si="116"/>
        <v>0.20909090909090905</v>
      </c>
    </row>
    <row r="781" spans="1:18">
      <c r="A781" t="s">
        <v>813</v>
      </c>
      <c r="B781" t="s">
        <v>60</v>
      </c>
      <c r="C781" t="str">
        <f t="shared" si="108"/>
        <v>Manufacturing and operations</v>
      </c>
      <c r="D781" t="s">
        <v>27</v>
      </c>
      <c r="E781" t="str">
        <f t="shared" si="109"/>
        <v>Technova</v>
      </c>
      <c r="F781">
        <v>13</v>
      </c>
      <c r="G781">
        <v>44000</v>
      </c>
      <c r="H781" s="1">
        <v>43905</v>
      </c>
      <c r="I781">
        <v>2</v>
      </c>
      <c r="J781" t="s">
        <v>57</v>
      </c>
      <c r="K781">
        <f t="shared" si="110"/>
        <v>2</v>
      </c>
      <c r="L781">
        <f t="shared" si="111"/>
        <v>4.5454545454545452E-5</v>
      </c>
      <c r="M781" t="b">
        <f t="shared" si="112"/>
        <v>0</v>
      </c>
      <c r="N781" t="b">
        <f t="shared" si="113"/>
        <v>1</v>
      </c>
      <c r="O781" t="s">
        <v>22</v>
      </c>
      <c r="P781">
        <f t="shared" si="114"/>
        <v>0.18181818181818174</v>
      </c>
      <c r="Q781">
        <f t="shared" si="115"/>
        <v>0.25</v>
      </c>
      <c r="R781">
        <f t="shared" si="116"/>
        <v>0.20909090909090905</v>
      </c>
    </row>
    <row r="782" spans="1:18">
      <c r="A782" t="s">
        <v>814</v>
      </c>
      <c r="B782" t="s">
        <v>25</v>
      </c>
      <c r="C782" t="str">
        <f t="shared" si="108"/>
        <v>Sales &amp; Marketing</v>
      </c>
      <c r="D782" t="s">
        <v>20</v>
      </c>
      <c r="E782" t="str">
        <f t="shared" si="109"/>
        <v>Dataverse</v>
      </c>
      <c r="F782">
        <v>8</v>
      </c>
      <c r="G782">
        <v>22000</v>
      </c>
      <c r="H782" s="1">
        <v>43219</v>
      </c>
      <c r="I782">
        <v>2</v>
      </c>
      <c r="J782" t="s">
        <v>21</v>
      </c>
      <c r="K782">
        <f t="shared" si="110"/>
        <v>1</v>
      </c>
      <c r="L782">
        <f t="shared" si="111"/>
        <v>4.5454545454545452E-5</v>
      </c>
      <c r="M782" t="b">
        <f t="shared" si="112"/>
        <v>0</v>
      </c>
      <c r="N782" t="b">
        <f t="shared" si="113"/>
        <v>1</v>
      </c>
      <c r="O782" t="s">
        <v>22</v>
      </c>
      <c r="P782">
        <f t="shared" si="114"/>
        <v>0.18181818181818174</v>
      </c>
      <c r="Q782">
        <f t="shared" si="115"/>
        <v>0.25</v>
      </c>
      <c r="R782">
        <f t="shared" si="116"/>
        <v>0.20909090909090905</v>
      </c>
    </row>
    <row r="783" spans="1:18">
      <c r="A783" t="s">
        <v>815</v>
      </c>
      <c r="B783" t="s">
        <v>224</v>
      </c>
      <c r="C783" t="str">
        <f t="shared" si="108"/>
        <v>Business Strategy</v>
      </c>
      <c r="D783" t="s">
        <v>27</v>
      </c>
      <c r="E783" t="str">
        <f t="shared" si="109"/>
        <v>Technova</v>
      </c>
      <c r="F783">
        <v>11</v>
      </c>
      <c r="G783">
        <v>89000</v>
      </c>
      <c r="H783" s="1">
        <v>39874</v>
      </c>
      <c r="I783">
        <v>3</v>
      </c>
      <c r="J783" t="s">
        <v>174</v>
      </c>
      <c r="K783">
        <f t="shared" si="110"/>
        <v>3</v>
      </c>
      <c r="L783">
        <f t="shared" si="111"/>
        <v>3.3707865168539323E-5</v>
      </c>
      <c r="M783" t="b">
        <f t="shared" si="112"/>
        <v>0</v>
      </c>
      <c r="N783" t="b">
        <f t="shared" si="113"/>
        <v>1</v>
      </c>
      <c r="O783" t="s">
        <v>22</v>
      </c>
      <c r="P783">
        <f t="shared" si="114"/>
        <v>5.6179775280898224E-3</v>
      </c>
      <c r="Q783">
        <f t="shared" si="115"/>
        <v>0.5</v>
      </c>
      <c r="R783">
        <f t="shared" si="116"/>
        <v>0.20337078651685389</v>
      </c>
    </row>
    <row r="784" spans="1:18">
      <c r="A784" t="s">
        <v>816</v>
      </c>
      <c r="B784" t="s">
        <v>70</v>
      </c>
      <c r="C784" t="str">
        <f t="shared" si="108"/>
        <v>Customer Experience</v>
      </c>
      <c r="D784" t="s">
        <v>27</v>
      </c>
      <c r="E784" t="str">
        <f t="shared" si="109"/>
        <v>Technova</v>
      </c>
      <c r="F784">
        <v>11</v>
      </c>
      <c r="G784">
        <v>89000</v>
      </c>
      <c r="H784" s="1">
        <v>38847</v>
      </c>
      <c r="I784">
        <v>3</v>
      </c>
      <c r="J784" t="s">
        <v>174</v>
      </c>
      <c r="K784">
        <f t="shared" si="110"/>
        <v>3</v>
      </c>
      <c r="L784">
        <f t="shared" si="111"/>
        <v>3.3707865168539323E-5</v>
      </c>
      <c r="M784" t="b">
        <f t="shared" si="112"/>
        <v>0</v>
      </c>
      <c r="N784" t="b">
        <f t="shared" si="113"/>
        <v>1</v>
      </c>
      <c r="O784" t="s">
        <v>22</v>
      </c>
      <c r="P784">
        <f t="shared" si="114"/>
        <v>5.6179775280898224E-3</v>
      </c>
      <c r="Q784">
        <f t="shared" si="115"/>
        <v>0.5</v>
      </c>
      <c r="R784">
        <f t="shared" si="116"/>
        <v>0.20337078651685389</v>
      </c>
    </row>
    <row r="785" spans="1:18">
      <c r="A785" t="s">
        <v>817</v>
      </c>
      <c r="B785" t="s">
        <v>224</v>
      </c>
      <c r="C785" t="str">
        <f t="shared" si="108"/>
        <v>Business Strategy</v>
      </c>
      <c r="D785" t="s">
        <v>27</v>
      </c>
      <c r="E785" t="str">
        <f t="shared" si="109"/>
        <v>Technova</v>
      </c>
      <c r="F785">
        <v>17</v>
      </c>
      <c r="G785">
        <v>67000</v>
      </c>
      <c r="H785" s="1">
        <v>40532</v>
      </c>
      <c r="I785">
        <v>2</v>
      </c>
      <c r="J785" t="s">
        <v>174</v>
      </c>
      <c r="K785">
        <f t="shared" si="110"/>
        <v>3</v>
      </c>
      <c r="L785">
        <f t="shared" si="111"/>
        <v>4.4776119402985078E-5</v>
      </c>
      <c r="M785" t="b">
        <f t="shared" si="112"/>
        <v>1</v>
      </c>
      <c r="N785" t="b">
        <f t="shared" si="113"/>
        <v>1</v>
      </c>
      <c r="O785" t="s">
        <v>22</v>
      </c>
      <c r="P785">
        <f t="shared" si="114"/>
        <v>0.17164179104477614</v>
      </c>
      <c r="Q785">
        <f t="shared" si="115"/>
        <v>0.25</v>
      </c>
      <c r="R785">
        <f t="shared" si="116"/>
        <v>0.20298507462686569</v>
      </c>
    </row>
    <row r="786" spans="1:18">
      <c r="A786" t="s">
        <v>818</v>
      </c>
      <c r="B786" t="s">
        <v>70</v>
      </c>
      <c r="C786" t="str">
        <f t="shared" si="108"/>
        <v>Customer Experience</v>
      </c>
      <c r="D786" t="s">
        <v>27</v>
      </c>
      <c r="E786" t="str">
        <f t="shared" si="109"/>
        <v>Technova</v>
      </c>
      <c r="F786">
        <v>18</v>
      </c>
      <c r="G786">
        <v>45000</v>
      </c>
      <c r="H786" s="1">
        <v>44075</v>
      </c>
      <c r="I786">
        <v>2</v>
      </c>
      <c r="J786" t="s">
        <v>57</v>
      </c>
      <c r="K786">
        <f t="shared" si="110"/>
        <v>2</v>
      </c>
      <c r="L786">
        <f t="shared" si="111"/>
        <v>4.4444444444444447E-5</v>
      </c>
      <c r="M786" t="b">
        <f t="shared" si="112"/>
        <v>1</v>
      </c>
      <c r="N786" t="b">
        <f t="shared" si="113"/>
        <v>1</v>
      </c>
      <c r="O786" t="s">
        <v>22</v>
      </c>
      <c r="P786">
        <f t="shared" si="114"/>
        <v>0.16666666666666666</v>
      </c>
      <c r="Q786">
        <f t="shared" si="115"/>
        <v>0.25</v>
      </c>
      <c r="R786">
        <f t="shared" si="116"/>
        <v>0.2</v>
      </c>
    </row>
    <row r="787" spans="1:18">
      <c r="A787" t="s">
        <v>819</v>
      </c>
      <c r="B787" t="s">
        <v>19</v>
      </c>
      <c r="C787" t="str">
        <f t="shared" si="108"/>
        <v>Research &amp; Department</v>
      </c>
      <c r="D787" t="s">
        <v>27</v>
      </c>
      <c r="E787" t="str">
        <f t="shared" si="109"/>
        <v>Technova</v>
      </c>
      <c r="F787">
        <v>16</v>
      </c>
      <c r="G787">
        <v>30000</v>
      </c>
      <c r="H787" s="1">
        <v>43169</v>
      </c>
      <c r="I787">
        <v>3</v>
      </c>
      <c r="J787" t="s">
        <v>21</v>
      </c>
      <c r="K787">
        <f t="shared" si="110"/>
        <v>1</v>
      </c>
      <c r="L787">
        <f t="shared" si="111"/>
        <v>3.3333333333333335E-5</v>
      </c>
      <c r="M787" t="b">
        <f t="shared" si="112"/>
        <v>1</v>
      </c>
      <c r="N787" t="b">
        <f t="shared" si="113"/>
        <v>1</v>
      </c>
      <c r="O787" t="s">
        <v>22</v>
      </c>
      <c r="P787">
        <f t="shared" si="114"/>
        <v>0</v>
      </c>
      <c r="Q787">
        <f t="shared" si="115"/>
        <v>0.5</v>
      </c>
      <c r="R787">
        <f t="shared" si="116"/>
        <v>0.2</v>
      </c>
    </row>
    <row r="788" spans="1:18">
      <c r="A788" t="s">
        <v>820</v>
      </c>
      <c r="B788" t="s">
        <v>56</v>
      </c>
      <c r="C788" t="str">
        <f t="shared" si="108"/>
        <v>IT &amp; Systems</v>
      </c>
      <c r="D788" t="s">
        <v>27</v>
      </c>
      <c r="E788" t="str">
        <f t="shared" si="109"/>
        <v>Technova</v>
      </c>
      <c r="F788">
        <v>16</v>
      </c>
      <c r="G788">
        <v>45000</v>
      </c>
      <c r="H788" s="1">
        <v>42733</v>
      </c>
      <c r="I788">
        <v>2</v>
      </c>
      <c r="J788" t="s">
        <v>57</v>
      </c>
      <c r="K788">
        <f t="shared" si="110"/>
        <v>2</v>
      </c>
      <c r="L788">
        <f t="shared" si="111"/>
        <v>4.4444444444444447E-5</v>
      </c>
      <c r="M788" t="b">
        <f t="shared" si="112"/>
        <v>1</v>
      </c>
      <c r="N788" t="b">
        <f t="shared" si="113"/>
        <v>1</v>
      </c>
      <c r="O788" t="s">
        <v>22</v>
      </c>
      <c r="P788">
        <f t="shared" si="114"/>
        <v>0.16666666666666666</v>
      </c>
      <c r="Q788">
        <f t="shared" si="115"/>
        <v>0.25</v>
      </c>
      <c r="R788">
        <f t="shared" si="116"/>
        <v>0.2</v>
      </c>
    </row>
    <row r="789" spans="1:18">
      <c r="A789" t="s">
        <v>821</v>
      </c>
      <c r="B789" t="s">
        <v>56</v>
      </c>
      <c r="C789" t="str">
        <f t="shared" si="108"/>
        <v>IT &amp; Systems</v>
      </c>
      <c r="D789" t="s">
        <v>20</v>
      </c>
      <c r="E789" t="str">
        <f t="shared" si="109"/>
        <v>Dataverse</v>
      </c>
      <c r="F789">
        <v>20</v>
      </c>
      <c r="G789">
        <v>45000</v>
      </c>
      <c r="H789" s="1">
        <v>39515</v>
      </c>
      <c r="I789">
        <v>2</v>
      </c>
      <c r="J789" t="s">
        <v>57</v>
      </c>
      <c r="K789">
        <f t="shared" si="110"/>
        <v>2</v>
      </c>
      <c r="L789">
        <f t="shared" si="111"/>
        <v>4.4444444444444447E-5</v>
      </c>
      <c r="M789" t="b">
        <f t="shared" si="112"/>
        <v>1</v>
      </c>
      <c r="N789" t="b">
        <f t="shared" si="113"/>
        <v>1</v>
      </c>
      <c r="O789" t="s">
        <v>22</v>
      </c>
      <c r="P789">
        <f t="shared" si="114"/>
        <v>0.16666666666666666</v>
      </c>
      <c r="Q789">
        <f t="shared" si="115"/>
        <v>0.25</v>
      </c>
      <c r="R789">
        <f t="shared" si="116"/>
        <v>0.2</v>
      </c>
    </row>
    <row r="790" spans="1:18">
      <c r="A790" t="s">
        <v>822</v>
      </c>
      <c r="B790" t="s">
        <v>56</v>
      </c>
      <c r="C790" t="str">
        <f t="shared" si="108"/>
        <v>IT &amp; Systems</v>
      </c>
      <c r="D790" t="s">
        <v>27</v>
      </c>
      <c r="E790" t="str">
        <f t="shared" si="109"/>
        <v>Technova</v>
      </c>
      <c r="F790">
        <v>3</v>
      </c>
      <c r="G790">
        <v>45000</v>
      </c>
      <c r="H790" s="1">
        <v>39185</v>
      </c>
      <c r="I790">
        <v>2</v>
      </c>
      <c r="J790" t="s">
        <v>57</v>
      </c>
      <c r="K790">
        <f t="shared" si="110"/>
        <v>2</v>
      </c>
      <c r="L790">
        <f t="shared" si="111"/>
        <v>4.4444444444444447E-5</v>
      </c>
      <c r="M790" t="b">
        <f t="shared" si="112"/>
        <v>0</v>
      </c>
      <c r="N790" t="b">
        <f t="shared" si="113"/>
        <v>0</v>
      </c>
      <c r="O790" t="s">
        <v>22</v>
      </c>
      <c r="P790">
        <f t="shared" si="114"/>
        <v>0.16666666666666666</v>
      </c>
      <c r="Q790">
        <f t="shared" si="115"/>
        <v>0.25</v>
      </c>
      <c r="R790">
        <f t="shared" si="116"/>
        <v>0.2</v>
      </c>
    </row>
    <row r="791" spans="1:18">
      <c r="A791" t="s">
        <v>823</v>
      </c>
      <c r="B791" t="s">
        <v>70</v>
      </c>
      <c r="C791" t="str">
        <f t="shared" si="108"/>
        <v>Customer Experience</v>
      </c>
      <c r="D791" t="s">
        <v>27</v>
      </c>
      <c r="E791" t="str">
        <f t="shared" si="109"/>
        <v>Technova</v>
      </c>
      <c r="F791">
        <v>15</v>
      </c>
      <c r="G791">
        <v>90000</v>
      </c>
      <c r="H791" s="1">
        <v>39089</v>
      </c>
      <c r="I791">
        <v>3</v>
      </c>
      <c r="J791" t="s">
        <v>174</v>
      </c>
      <c r="K791">
        <f t="shared" si="110"/>
        <v>3</v>
      </c>
      <c r="L791">
        <f t="shared" si="111"/>
        <v>3.3333333333333335E-5</v>
      </c>
      <c r="M791" t="b">
        <f t="shared" si="112"/>
        <v>0</v>
      </c>
      <c r="N791" t="b">
        <f t="shared" si="113"/>
        <v>1</v>
      </c>
      <c r="O791" t="s">
        <v>22</v>
      </c>
      <c r="P791">
        <f t="shared" si="114"/>
        <v>0</v>
      </c>
      <c r="Q791">
        <f t="shared" si="115"/>
        <v>0.5</v>
      </c>
      <c r="R791">
        <f t="shared" si="116"/>
        <v>0.2</v>
      </c>
    </row>
    <row r="792" spans="1:18">
      <c r="A792" t="s">
        <v>824</v>
      </c>
      <c r="B792" t="s">
        <v>60</v>
      </c>
      <c r="C792" t="str">
        <f t="shared" si="108"/>
        <v>Manufacturing and operations</v>
      </c>
      <c r="D792" t="s">
        <v>20</v>
      </c>
      <c r="E792" t="str">
        <f t="shared" si="109"/>
        <v>Dataverse</v>
      </c>
      <c r="F792">
        <v>16</v>
      </c>
      <c r="G792">
        <v>45000</v>
      </c>
      <c r="H792" s="1">
        <v>44571</v>
      </c>
      <c r="I792">
        <v>2</v>
      </c>
      <c r="J792" t="s">
        <v>57</v>
      </c>
      <c r="K792">
        <f t="shared" si="110"/>
        <v>2</v>
      </c>
      <c r="L792">
        <f t="shared" si="111"/>
        <v>4.4444444444444447E-5</v>
      </c>
      <c r="M792" t="b">
        <f t="shared" si="112"/>
        <v>1</v>
      </c>
      <c r="N792" t="b">
        <f t="shared" si="113"/>
        <v>1</v>
      </c>
      <c r="O792" t="s">
        <v>22</v>
      </c>
      <c r="P792">
        <f t="shared" si="114"/>
        <v>0.16666666666666666</v>
      </c>
      <c r="Q792">
        <f t="shared" si="115"/>
        <v>0.25</v>
      </c>
      <c r="R792">
        <f t="shared" si="116"/>
        <v>0.2</v>
      </c>
    </row>
    <row r="793" spans="1:18">
      <c r="A793" t="s">
        <v>825</v>
      </c>
      <c r="B793" t="s">
        <v>25</v>
      </c>
      <c r="C793" t="str">
        <f t="shared" si="108"/>
        <v>Sales &amp; Marketing</v>
      </c>
      <c r="D793" t="s">
        <v>20</v>
      </c>
      <c r="E793" t="str">
        <f t="shared" si="109"/>
        <v>Dataverse</v>
      </c>
      <c r="F793">
        <v>12</v>
      </c>
      <c r="G793">
        <v>30000</v>
      </c>
      <c r="H793" s="1">
        <v>43374</v>
      </c>
      <c r="I793">
        <v>3</v>
      </c>
      <c r="J793" t="s">
        <v>21</v>
      </c>
      <c r="K793">
        <f t="shared" si="110"/>
        <v>1</v>
      </c>
      <c r="L793">
        <f t="shared" si="111"/>
        <v>3.3333333333333335E-5</v>
      </c>
      <c r="M793" t="b">
        <f t="shared" si="112"/>
        <v>0</v>
      </c>
      <c r="N793" t="b">
        <f t="shared" si="113"/>
        <v>1</v>
      </c>
      <c r="O793" t="s">
        <v>22</v>
      </c>
      <c r="P793">
        <f t="shared" si="114"/>
        <v>0</v>
      </c>
      <c r="Q793">
        <f t="shared" si="115"/>
        <v>0.5</v>
      </c>
      <c r="R793">
        <f t="shared" si="116"/>
        <v>0.2</v>
      </c>
    </row>
    <row r="794" spans="1:18">
      <c r="A794" t="s">
        <v>826</v>
      </c>
      <c r="B794" t="s">
        <v>70</v>
      </c>
      <c r="C794" t="str">
        <f t="shared" si="108"/>
        <v>Customer Experience</v>
      </c>
      <c r="D794" t="s">
        <v>20</v>
      </c>
      <c r="E794" t="str">
        <f t="shared" si="109"/>
        <v>Dataverse</v>
      </c>
      <c r="F794">
        <v>11</v>
      </c>
      <c r="G794">
        <v>36000</v>
      </c>
      <c r="H794" s="1">
        <v>43862</v>
      </c>
      <c r="I794">
        <v>1</v>
      </c>
      <c r="J794" t="s">
        <v>57</v>
      </c>
      <c r="K794">
        <f t="shared" si="110"/>
        <v>2</v>
      </c>
      <c r="L794">
        <f t="shared" si="111"/>
        <v>5.5555555555555558E-5</v>
      </c>
      <c r="M794" t="b">
        <f t="shared" si="112"/>
        <v>0</v>
      </c>
      <c r="N794" t="b">
        <f t="shared" si="113"/>
        <v>1</v>
      </c>
      <c r="O794" t="s">
        <v>22</v>
      </c>
      <c r="P794">
        <f t="shared" si="114"/>
        <v>0.33333333333333331</v>
      </c>
      <c r="Q794">
        <f t="shared" si="115"/>
        <v>0</v>
      </c>
      <c r="R794">
        <f t="shared" si="116"/>
        <v>0.19999999999999998</v>
      </c>
    </row>
    <row r="795" spans="1:18">
      <c r="A795" t="s">
        <v>827</v>
      </c>
      <c r="B795" t="s">
        <v>56</v>
      </c>
      <c r="C795" t="str">
        <f t="shared" si="108"/>
        <v>IT &amp; Systems</v>
      </c>
      <c r="D795" t="s">
        <v>27</v>
      </c>
      <c r="E795" t="str">
        <f t="shared" si="109"/>
        <v>Technova</v>
      </c>
      <c r="F795">
        <v>19</v>
      </c>
      <c r="G795">
        <v>36000</v>
      </c>
      <c r="H795" s="1">
        <v>38258</v>
      </c>
      <c r="I795">
        <v>1</v>
      </c>
      <c r="J795" t="s">
        <v>57</v>
      </c>
      <c r="K795">
        <f t="shared" si="110"/>
        <v>2</v>
      </c>
      <c r="L795">
        <f t="shared" si="111"/>
        <v>5.5555555555555558E-5</v>
      </c>
      <c r="M795" t="b">
        <f t="shared" si="112"/>
        <v>1</v>
      </c>
      <c r="N795" t="b">
        <f t="shared" si="113"/>
        <v>1</v>
      </c>
      <c r="O795" t="s">
        <v>22</v>
      </c>
      <c r="P795">
        <f t="shared" si="114"/>
        <v>0.33333333333333331</v>
      </c>
      <c r="Q795">
        <f t="shared" si="115"/>
        <v>0</v>
      </c>
      <c r="R795">
        <f t="shared" si="116"/>
        <v>0.19999999999999998</v>
      </c>
    </row>
    <row r="796" spans="1:18">
      <c r="A796" t="s">
        <v>828</v>
      </c>
      <c r="B796" t="s">
        <v>60</v>
      </c>
      <c r="C796" t="str">
        <f t="shared" si="108"/>
        <v>Manufacturing and operations</v>
      </c>
      <c r="D796" t="s">
        <v>27</v>
      </c>
      <c r="E796" t="str">
        <f t="shared" si="109"/>
        <v>Technova</v>
      </c>
      <c r="F796">
        <v>6</v>
      </c>
      <c r="G796">
        <v>36000</v>
      </c>
      <c r="H796" s="1">
        <v>43175</v>
      </c>
      <c r="I796">
        <v>1</v>
      </c>
      <c r="J796" t="s">
        <v>57</v>
      </c>
      <c r="K796">
        <f t="shared" si="110"/>
        <v>2</v>
      </c>
      <c r="L796">
        <f t="shared" si="111"/>
        <v>5.5555555555555558E-5</v>
      </c>
      <c r="M796" t="b">
        <f t="shared" si="112"/>
        <v>0</v>
      </c>
      <c r="N796" t="b">
        <f t="shared" si="113"/>
        <v>1</v>
      </c>
      <c r="O796" t="s">
        <v>22</v>
      </c>
      <c r="P796">
        <f t="shared" si="114"/>
        <v>0.33333333333333331</v>
      </c>
      <c r="Q796">
        <f t="shared" si="115"/>
        <v>0</v>
      </c>
      <c r="R796">
        <f t="shared" si="116"/>
        <v>0.19999999999999998</v>
      </c>
    </row>
    <row r="797" spans="1:18">
      <c r="A797" t="s">
        <v>829</v>
      </c>
      <c r="B797" t="s">
        <v>25</v>
      </c>
      <c r="C797" t="str">
        <f t="shared" si="108"/>
        <v>Sales &amp; Marketing</v>
      </c>
      <c r="D797" t="s">
        <v>27</v>
      </c>
      <c r="E797" t="str">
        <f t="shared" si="109"/>
        <v>Technova</v>
      </c>
      <c r="F797">
        <v>9</v>
      </c>
      <c r="G797">
        <v>18000</v>
      </c>
      <c r="H797" s="1">
        <v>40389</v>
      </c>
      <c r="I797">
        <v>1</v>
      </c>
      <c r="J797" t="s">
        <v>21</v>
      </c>
      <c r="K797">
        <f t="shared" si="110"/>
        <v>1</v>
      </c>
      <c r="L797">
        <f t="shared" si="111"/>
        <v>5.5555555555555558E-5</v>
      </c>
      <c r="M797" t="b">
        <f t="shared" si="112"/>
        <v>0</v>
      </c>
      <c r="N797" t="b">
        <f t="shared" si="113"/>
        <v>1</v>
      </c>
      <c r="O797" t="s">
        <v>22</v>
      </c>
      <c r="P797">
        <f t="shared" si="114"/>
        <v>0.33333333333333331</v>
      </c>
      <c r="Q797">
        <f t="shared" si="115"/>
        <v>0</v>
      </c>
      <c r="R797">
        <f t="shared" si="116"/>
        <v>0.19999999999999998</v>
      </c>
    </row>
    <row r="798" spans="1:18">
      <c r="A798" t="s">
        <v>830</v>
      </c>
      <c r="B798" t="s">
        <v>60</v>
      </c>
      <c r="C798" t="str">
        <f t="shared" si="108"/>
        <v>Manufacturing and operations</v>
      </c>
      <c r="D798" t="s">
        <v>20</v>
      </c>
      <c r="E798" t="str">
        <f t="shared" si="109"/>
        <v>Dataverse</v>
      </c>
      <c r="F798">
        <v>7</v>
      </c>
      <c r="G798">
        <v>36000</v>
      </c>
      <c r="H798" s="1">
        <v>39171</v>
      </c>
      <c r="I798">
        <v>1</v>
      </c>
      <c r="J798" t="s">
        <v>57</v>
      </c>
      <c r="K798">
        <f t="shared" si="110"/>
        <v>2</v>
      </c>
      <c r="L798">
        <f t="shared" si="111"/>
        <v>5.5555555555555558E-5</v>
      </c>
      <c r="M798" t="b">
        <f t="shared" si="112"/>
        <v>0</v>
      </c>
      <c r="N798" t="b">
        <f t="shared" si="113"/>
        <v>1</v>
      </c>
      <c r="O798" t="s">
        <v>22</v>
      </c>
      <c r="P798">
        <f t="shared" si="114"/>
        <v>0.33333333333333331</v>
      </c>
      <c r="Q798">
        <f t="shared" si="115"/>
        <v>0</v>
      </c>
      <c r="R798">
        <f t="shared" si="116"/>
        <v>0.19999999999999998</v>
      </c>
    </row>
    <row r="799" spans="1:18">
      <c r="A799" t="s">
        <v>831</v>
      </c>
      <c r="B799" t="s">
        <v>60</v>
      </c>
      <c r="C799" t="str">
        <f t="shared" si="108"/>
        <v>Manufacturing and operations</v>
      </c>
      <c r="D799" t="s">
        <v>27</v>
      </c>
      <c r="E799" t="str">
        <f t="shared" si="109"/>
        <v>Technova</v>
      </c>
      <c r="F799">
        <v>12</v>
      </c>
      <c r="G799">
        <v>36000</v>
      </c>
      <c r="H799" s="1">
        <v>38655</v>
      </c>
      <c r="I799">
        <v>1</v>
      </c>
      <c r="J799" t="s">
        <v>57</v>
      </c>
      <c r="K799">
        <f t="shared" si="110"/>
        <v>2</v>
      </c>
      <c r="L799">
        <f t="shared" si="111"/>
        <v>5.5555555555555558E-5</v>
      </c>
      <c r="M799" t="b">
        <f t="shared" si="112"/>
        <v>0</v>
      </c>
      <c r="N799" t="b">
        <f t="shared" si="113"/>
        <v>1</v>
      </c>
      <c r="O799" t="s">
        <v>22</v>
      </c>
      <c r="P799">
        <f t="shared" si="114"/>
        <v>0.33333333333333331</v>
      </c>
      <c r="Q799">
        <f t="shared" si="115"/>
        <v>0</v>
      </c>
      <c r="R799">
        <f t="shared" si="116"/>
        <v>0.19999999999999998</v>
      </c>
    </row>
    <row r="800" spans="1:18">
      <c r="A800" t="s">
        <v>832</v>
      </c>
      <c r="B800" t="s">
        <v>25</v>
      </c>
      <c r="C800" t="str">
        <f t="shared" si="108"/>
        <v>Sales &amp; Marketing</v>
      </c>
      <c r="D800" t="s">
        <v>27</v>
      </c>
      <c r="E800" t="str">
        <f t="shared" si="109"/>
        <v>Technova</v>
      </c>
      <c r="F800">
        <v>25</v>
      </c>
      <c r="G800">
        <v>18000</v>
      </c>
      <c r="H800" s="1">
        <v>41930</v>
      </c>
      <c r="I800">
        <v>1</v>
      </c>
      <c r="J800" t="s">
        <v>21</v>
      </c>
      <c r="K800">
        <f t="shared" si="110"/>
        <v>1</v>
      </c>
      <c r="L800">
        <f t="shared" si="111"/>
        <v>5.5555555555555558E-5</v>
      </c>
      <c r="M800" t="b">
        <f t="shared" si="112"/>
        <v>1</v>
      </c>
      <c r="N800" t="b">
        <f t="shared" si="113"/>
        <v>1</v>
      </c>
      <c r="O800" t="s">
        <v>22</v>
      </c>
      <c r="P800">
        <f t="shared" si="114"/>
        <v>0.33333333333333331</v>
      </c>
      <c r="Q800">
        <f t="shared" si="115"/>
        <v>0</v>
      </c>
      <c r="R800">
        <f t="shared" si="116"/>
        <v>0.19999999999999998</v>
      </c>
    </row>
    <row r="801" spans="1:18">
      <c r="A801" t="s">
        <v>833</v>
      </c>
      <c r="B801" t="s">
        <v>70</v>
      </c>
      <c r="C801" t="str">
        <f t="shared" si="108"/>
        <v>Customer Experience</v>
      </c>
      <c r="D801" t="s">
        <v>27</v>
      </c>
      <c r="E801" t="str">
        <f t="shared" si="109"/>
        <v>Technova</v>
      </c>
      <c r="F801">
        <v>15</v>
      </c>
      <c r="G801">
        <v>68000</v>
      </c>
      <c r="H801" s="1">
        <v>39269</v>
      </c>
      <c r="I801">
        <v>2</v>
      </c>
      <c r="J801" t="s">
        <v>174</v>
      </c>
      <c r="K801">
        <f t="shared" si="110"/>
        <v>3</v>
      </c>
      <c r="L801">
        <f t="shared" si="111"/>
        <v>4.4117647058823532E-5</v>
      </c>
      <c r="M801" t="b">
        <f t="shared" si="112"/>
        <v>0</v>
      </c>
      <c r="N801" t="b">
        <f t="shared" si="113"/>
        <v>1</v>
      </c>
      <c r="O801" t="s">
        <v>22</v>
      </c>
      <c r="P801">
        <f t="shared" si="114"/>
        <v>0.16176470588235295</v>
      </c>
      <c r="Q801">
        <f t="shared" si="115"/>
        <v>0.25</v>
      </c>
      <c r="R801">
        <f t="shared" si="116"/>
        <v>0.19705882352941179</v>
      </c>
    </row>
    <row r="802" spans="1:18" hidden="1">
      <c r="A802" t="s">
        <v>834</v>
      </c>
      <c r="B802" t="s">
        <v>70</v>
      </c>
      <c r="C802" t="str">
        <f t="shared" si="108"/>
        <v>Customer Experience</v>
      </c>
      <c r="D802" t="s">
        <v>20</v>
      </c>
      <c r="E802" t="str">
        <f t="shared" si="109"/>
        <v>Dataverse</v>
      </c>
      <c r="F802">
        <v>16</v>
      </c>
      <c r="G802">
        <v>46000</v>
      </c>
      <c r="H802" s="1">
        <v>39887</v>
      </c>
      <c r="I802">
        <v>2</v>
      </c>
      <c r="J802" t="s">
        <v>57</v>
      </c>
      <c r="K802">
        <f t="shared" si="110"/>
        <v>2</v>
      </c>
      <c r="L802">
        <f t="shared" si="111"/>
        <v>4.347826086956522E-5</v>
      </c>
      <c r="M802" t="b">
        <f t="shared" si="112"/>
        <v>1</v>
      </c>
      <c r="N802" t="b">
        <f t="shared" si="113"/>
        <v>1</v>
      </c>
      <c r="O802" t="s">
        <v>835</v>
      </c>
      <c r="P802">
        <f t="shared" si="114"/>
        <v>0.15217391304347827</v>
      </c>
      <c r="Q802">
        <f t="shared" si="115"/>
        <v>0.25</v>
      </c>
      <c r="R802">
        <f t="shared" si="116"/>
        <v>0.19130434782608696</v>
      </c>
    </row>
    <row r="803" spans="1:18" hidden="1">
      <c r="A803" t="s">
        <v>836</v>
      </c>
      <c r="B803" t="s">
        <v>70</v>
      </c>
      <c r="C803" t="str">
        <f t="shared" si="108"/>
        <v>Customer Experience</v>
      </c>
      <c r="D803" t="s">
        <v>20</v>
      </c>
      <c r="E803" t="str">
        <f t="shared" si="109"/>
        <v>Dataverse</v>
      </c>
      <c r="F803">
        <v>14</v>
      </c>
      <c r="G803">
        <v>46000</v>
      </c>
      <c r="H803" s="1">
        <v>43004</v>
      </c>
      <c r="I803">
        <v>2</v>
      </c>
      <c r="J803" t="s">
        <v>57</v>
      </c>
      <c r="K803">
        <f t="shared" si="110"/>
        <v>2</v>
      </c>
      <c r="L803">
        <f t="shared" si="111"/>
        <v>4.347826086956522E-5</v>
      </c>
      <c r="M803" t="b">
        <f t="shared" si="112"/>
        <v>0</v>
      </c>
      <c r="N803" t="b">
        <f t="shared" si="113"/>
        <v>1</v>
      </c>
      <c r="O803" t="s">
        <v>835</v>
      </c>
      <c r="P803">
        <f t="shared" si="114"/>
        <v>0.15217391304347827</v>
      </c>
      <c r="Q803">
        <f t="shared" si="115"/>
        <v>0.25</v>
      </c>
      <c r="R803">
        <f t="shared" si="116"/>
        <v>0.19130434782608696</v>
      </c>
    </row>
    <row r="804" spans="1:18" hidden="1">
      <c r="A804" t="s">
        <v>837</v>
      </c>
      <c r="B804" t="s">
        <v>74</v>
      </c>
      <c r="C804" t="str">
        <f t="shared" si="108"/>
        <v>Human Resources</v>
      </c>
      <c r="D804" t="s">
        <v>27</v>
      </c>
      <c r="E804" t="str">
        <f t="shared" si="109"/>
        <v>Technova</v>
      </c>
      <c r="F804">
        <v>14</v>
      </c>
      <c r="G804">
        <v>46000</v>
      </c>
      <c r="H804" s="1">
        <v>41674</v>
      </c>
      <c r="I804">
        <v>2</v>
      </c>
      <c r="J804" t="s">
        <v>57</v>
      </c>
      <c r="K804">
        <f t="shared" si="110"/>
        <v>2</v>
      </c>
      <c r="L804">
        <f t="shared" si="111"/>
        <v>4.347826086956522E-5</v>
      </c>
      <c r="M804" t="b">
        <f t="shared" si="112"/>
        <v>0</v>
      </c>
      <c r="N804" t="b">
        <f t="shared" si="113"/>
        <v>1</v>
      </c>
      <c r="O804" t="s">
        <v>835</v>
      </c>
      <c r="P804">
        <f t="shared" si="114"/>
        <v>0.15217391304347827</v>
      </c>
      <c r="Q804">
        <f t="shared" si="115"/>
        <v>0.25</v>
      </c>
      <c r="R804">
        <f t="shared" si="116"/>
        <v>0.19130434782608696</v>
      </c>
    </row>
    <row r="805" spans="1:18" hidden="1">
      <c r="A805" t="s">
        <v>838</v>
      </c>
      <c r="B805" t="s">
        <v>56</v>
      </c>
      <c r="C805" t="str">
        <f t="shared" si="108"/>
        <v>IT &amp; Systems</v>
      </c>
      <c r="D805" t="s">
        <v>27</v>
      </c>
      <c r="E805" t="str">
        <f t="shared" si="109"/>
        <v>Technova</v>
      </c>
      <c r="F805">
        <v>17</v>
      </c>
      <c r="G805">
        <v>46000</v>
      </c>
      <c r="H805" s="1">
        <v>42836</v>
      </c>
      <c r="I805">
        <v>2</v>
      </c>
      <c r="J805" t="s">
        <v>57</v>
      </c>
      <c r="K805">
        <f t="shared" si="110"/>
        <v>2</v>
      </c>
      <c r="L805">
        <f t="shared" si="111"/>
        <v>4.347826086956522E-5</v>
      </c>
      <c r="M805" t="b">
        <f t="shared" si="112"/>
        <v>1</v>
      </c>
      <c r="N805" t="b">
        <f t="shared" si="113"/>
        <v>1</v>
      </c>
      <c r="O805" t="s">
        <v>835</v>
      </c>
      <c r="P805">
        <f t="shared" si="114"/>
        <v>0.15217391304347827</v>
      </c>
      <c r="Q805">
        <f t="shared" si="115"/>
        <v>0.25</v>
      </c>
      <c r="R805">
        <f t="shared" si="116"/>
        <v>0.19130434782608696</v>
      </c>
    </row>
    <row r="806" spans="1:18" hidden="1">
      <c r="A806" t="s">
        <v>839</v>
      </c>
      <c r="B806" t="s">
        <v>19</v>
      </c>
      <c r="C806" t="str">
        <f t="shared" si="108"/>
        <v>Research &amp; Department</v>
      </c>
      <c r="D806" t="s">
        <v>27</v>
      </c>
      <c r="E806" t="str">
        <f t="shared" si="109"/>
        <v>Technova</v>
      </c>
      <c r="F806">
        <v>6</v>
      </c>
      <c r="G806">
        <v>23000</v>
      </c>
      <c r="H806" s="1">
        <v>40006</v>
      </c>
      <c r="I806">
        <v>2</v>
      </c>
      <c r="J806" t="s">
        <v>21</v>
      </c>
      <c r="K806">
        <f t="shared" si="110"/>
        <v>1</v>
      </c>
      <c r="L806">
        <f t="shared" si="111"/>
        <v>4.347826086956522E-5</v>
      </c>
      <c r="M806" t="b">
        <f t="shared" si="112"/>
        <v>0</v>
      </c>
      <c r="N806" t="b">
        <f t="shared" si="113"/>
        <v>1</v>
      </c>
      <c r="O806" t="s">
        <v>835</v>
      </c>
      <c r="P806">
        <f t="shared" si="114"/>
        <v>0.15217391304347827</v>
      </c>
      <c r="Q806">
        <f t="shared" si="115"/>
        <v>0.25</v>
      </c>
      <c r="R806">
        <f t="shared" si="116"/>
        <v>0.19130434782608696</v>
      </c>
    </row>
    <row r="807" spans="1:18" hidden="1">
      <c r="A807" t="s">
        <v>840</v>
      </c>
      <c r="B807" t="s">
        <v>19</v>
      </c>
      <c r="C807" t="str">
        <f t="shared" si="108"/>
        <v>Research &amp; Department</v>
      </c>
      <c r="D807" t="s">
        <v>27</v>
      </c>
      <c r="E807" t="str">
        <f t="shared" si="109"/>
        <v>Technova</v>
      </c>
      <c r="F807">
        <v>4</v>
      </c>
      <c r="G807">
        <v>23000</v>
      </c>
      <c r="H807" s="1">
        <v>41188</v>
      </c>
      <c r="I807">
        <v>2</v>
      </c>
      <c r="J807" t="s">
        <v>21</v>
      </c>
      <c r="K807">
        <f t="shared" si="110"/>
        <v>1</v>
      </c>
      <c r="L807">
        <f t="shared" si="111"/>
        <v>4.347826086956522E-5</v>
      </c>
      <c r="M807" t="b">
        <f t="shared" si="112"/>
        <v>0</v>
      </c>
      <c r="N807" t="b">
        <f t="shared" si="113"/>
        <v>0</v>
      </c>
      <c r="O807" t="s">
        <v>835</v>
      </c>
      <c r="P807">
        <f t="shared" si="114"/>
        <v>0.15217391304347827</v>
      </c>
      <c r="Q807">
        <f t="shared" si="115"/>
        <v>0.25</v>
      </c>
      <c r="R807">
        <f t="shared" si="116"/>
        <v>0.19130434782608696</v>
      </c>
    </row>
    <row r="808" spans="1:18" hidden="1">
      <c r="A808" t="s">
        <v>841</v>
      </c>
      <c r="B808" t="s">
        <v>60</v>
      </c>
      <c r="C808" t="str">
        <f t="shared" si="108"/>
        <v>Manufacturing and operations</v>
      </c>
      <c r="D808" t="s">
        <v>20</v>
      </c>
      <c r="E808" t="str">
        <f t="shared" si="109"/>
        <v>Dataverse</v>
      </c>
      <c r="F808">
        <v>3</v>
      </c>
      <c r="G808">
        <v>46000</v>
      </c>
      <c r="H808" s="1">
        <v>38499</v>
      </c>
      <c r="I808">
        <v>2</v>
      </c>
      <c r="J808" t="s">
        <v>57</v>
      </c>
      <c r="K808">
        <f t="shared" si="110"/>
        <v>2</v>
      </c>
      <c r="L808">
        <f t="shared" si="111"/>
        <v>4.347826086956522E-5</v>
      </c>
      <c r="M808" t="b">
        <f t="shared" si="112"/>
        <v>0</v>
      </c>
      <c r="N808" t="b">
        <f t="shared" si="113"/>
        <v>0</v>
      </c>
      <c r="O808" t="s">
        <v>835</v>
      </c>
      <c r="P808">
        <f t="shared" si="114"/>
        <v>0.15217391304347827</v>
      </c>
      <c r="Q808">
        <f t="shared" si="115"/>
        <v>0.25</v>
      </c>
      <c r="R808">
        <f t="shared" si="116"/>
        <v>0.19130434782608696</v>
      </c>
    </row>
    <row r="809" spans="1:18" hidden="1">
      <c r="A809" t="s">
        <v>842</v>
      </c>
      <c r="B809" t="s">
        <v>60</v>
      </c>
      <c r="C809" t="str">
        <f t="shared" si="108"/>
        <v>Manufacturing and operations</v>
      </c>
      <c r="D809" t="s">
        <v>20</v>
      </c>
      <c r="E809" t="str">
        <f t="shared" si="109"/>
        <v>Dataverse</v>
      </c>
      <c r="F809">
        <v>17</v>
      </c>
      <c r="G809">
        <v>46000</v>
      </c>
      <c r="H809" s="1">
        <v>40173</v>
      </c>
      <c r="I809">
        <v>2</v>
      </c>
      <c r="J809" t="s">
        <v>57</v>
      </c>
      <c r="K809">
        <f t="shared" si="110"/>
        <v>2</v>
      </c>
      <c r="L809">
        <f t="shared" si="111"/>
        <v>4.347826086956522E-5</v>
      </c>
      <c r="M809" t="b">
        <f t="shared" si="112"/>
        <v>1</v>
      </c>
      <c r="N809" t="b">
        <f t="shared" si="113"/>
        <v>1</v>
      </c>
      <c r="O809" t="s">
        <v>835</v>
      </c>
      <c r="P809">
        <f t="shared" si="114"/>
        <v>0.15217391304347827</v>
      </c>
      <c r="Q809">
        <f t="shared" si="115"/>
        <v>0.25</v>
      </c>
      <c r="R809">
        <f t="shared" si="116"/>
        <v>0.19130434782608696</v>
      </c>
    </row>
    <row r="810" spans="1:18" hidden="1">
      <c r="A810" t="s">
        <v>843</v>
      </c>
      <c r="B810" t="s">
        <v>60</v>
      </c>
      <c r="C810" t="str">
        <f t="shared" si="108"/>
        <v>Manufacturing and operations</v>
      </c>
      <c r="D810" t="s">
        <v>20</v>
      </c>
      <c r="E810" t="str">
        <f t="shared" si="109"/>
        <v>Dataverse</v>
      </c>
      <c r="F810">
        <v>2</v>
      </c>
      <c r="G810">
        <v>46000</v>
      </c>
      <c r="H810" s="1">
        <v>45424</v>
      </c>
      <c r="I810">
        <v>2</v>
      </c>
      <c r="J810" t="s">
        <v>57</v>
      </c>
      <c r="K810">
        <f t="shared" si="110"/>
        <v>2</v>
      </c>
      <c r="L810">
        <f t="shared" si="111"/>
        <v>4.347826086956522E-5</v>
      </c>
      <c r="M810" t="b">
        <f t="shared" si="112"/>
        <v>0</v>
      </c>
      <c r="N810" t="b">
        <f t="shared" si="113"/>
        <v>0</v>
      </c>
      <c r="O810" t="s">
        <v>835</v>
      </c>
      <c r="P810">
        <f t="shared" si="114"/>
        <v>0.15217391304347827</v>
      </c>
      <c r="Q810">
        <f t="shared" si="115"/>
        <v>0.25</v>
      </c>
      <c r="R810">
        <f t="shared" si="116"/>
        <v>0.19130434782608696</v>
      </c>
    </row>
    <row r="811" spans="1:18" hidden="1">
      <c r="A811" t="s">
        <v>844</v>
      </c>
      <c r="B811" t="s">
        <v>25</v>
      </c>
      <c r="C811" t="str">
        <f t="shared" si="108"/>
        <v>Sales &amp; Marketing</v>
      </c>
      <c r="D811" t="s">
        <v>27</v>
      </c>
      <c r="E811" t="str">
        <f t="shared" si="109"/>
        <v>Technova</v>
      </c>
      <c r="F811">
        <v>18</v>
      </c>
      <c r="G811">
        <v>23000</v>
      </c>
      <c r="H811" s="1">
        <v>42753</v>
      </c>
      <c r="I811">
        <v>2</v>
      </c>
      <c r="J811" t="s">
        <v>21</v>
      </c>
      <c r="K811">
        <f t="shared" si="110"/>
        <v>1</v>
      </c>
      <c r="L811">
        <f t="shared" si="111"/>
        <v>4.347826086956522E-5</v>
      </c>
      <c r="M811" t="b">
        <f t="shared" si="112"/>
        <v>1</v>
      </c>
      <c r="N811" t="b">
        <f t="shared" si="113"/>
        <v>1</v>
      </c>
      <c r="O811" t="s">
        <v>835</v>
      </c>
      <c r="P811">
        <f t="shared" si="114"/>
        <v>0.15217391304347827</v>
      </c>
      <c r="Q811">
        <f t="shared" si="115"/>
        <v>0.25</v>
      </c>
      <c r="R811">
        <f t="shared" si="116"/>
        <v>0.19130434782608696</v>
      </c>
    </row>
    <row r="812" spans="1:18" hidden="1">
      <c r="A812" t="s">
        <v>845</v>
      </c>
      <c r="B812" t="s">
        <v>67</v>
      </c>
      <c r="C812" t="str">
        <f t="shared" si="108"/>
        <v>Quality Assurance</v>
      </c>
      <c r="D812" t="s">
        <v>27</v>
      </c>
      <c r="E812" t="str">
        <f t="shared" si="109"/>
        <v>Technova</v>
      </c>
      <c r="F812">
        <v>8</v>
      </c>
      <c r="G812">
        <v>46000</v>
      </c>
      <c r="H812" s="1">
        <v>42318</v>
      </c>
      <c r="I812">
        <v>2</v>
      </c>
      <c r="J812" t="s">
        <v>57</v>
      </c>
      <c r="K812">
        <f t="shared" si="110"/>
        <v>2</v>
      </c>
      <c r="L812">
        <f t="shared" si="111"/>
        <v>4.347826086956522E-5</v>
      </c>
      <c r="M812" t="b">
        <f t="shared" si="112"/>
        <v>0</v>
      </c>
      <c r="N812" t="b">
        <f t="shared" si="113"/>
        <v>1</v>
      </c>
      <c r="O812" t="s">
        <v>835</v>
      </c>
      <c r="P812">
        <f t="shared" si="114"/>
        <v>0.15217391304347827</v>
      </c>
      <c r="Q812">
        <f t="shared" si="115"/>
        <v>0.25</v>
      </c>
      <c r="R812">
        <f t="shared" si="116"/>
        <v>0.19130434782608696</v>
      </c>
    </row>
    <row r="813" spans="1:18" hidden="1">
      <c r="A813" t="s">
        <v>846</v>
      </c>
      <c r="B813" t="s">
        <v>67</v>
      </c>
      <c r="C813" t="str">
        <f t="shared" si="108"/>
        <v>Quality Assurance</v>
      </c>
      <c r="D813" t="s">
        <v>20</v>
      </c>
      <c r="E813" t="str">
        <f t="shared" si="109"/>
        <v>Dataverse</v>
      </c>
      <c r="F813">
        <v>3</v>
      </c>
      <c r="G813">
        <v>46000</v>
      </c>
      <c r="H813" s="1">
        <v>40729</v>
      </c>
      <c r="I813">
        <v>2</v>
      </c>
      <c r="J813" t="s">
        <v>57</v>
      </c>
      <c r="K813">
        <f t="shared" si="110"/>
        <v>2</v>
      </c>
      <c r="L813">
        <f t="shared" si="111"/>
        <v>4.347826086956522E-5</v>
      </c>
      <c r="M813" t="b">
        <f t="shared" si="112"/>
        <v>0</v>
      </c>
      <c r="N813" t="b">
        <f t="shared" si="113"/>
        <v>0</v>
      </c>
      <c r="O813" t="s">
        <v>835</v>
      </c>
      <c r="P813">
        <f t="shared" si="114"/>
        <v>0.15217391304347827</v>
      </c>
      <c r="Q813">
        <f t="shared" si="115"/>
        <v>0.25</v>
      </c>
      <c r="R813">
        <f t="shared" si="116"/>
        <v>0.19130434782608696</v>
      </c>
    </row>
    <row r="814" spans="1:18" hidden="1">
      <c r="A814" t="s">
        <v>847</v>
      </c>
      <c r="B814" t="s">
        <v>56</v>
      </c>
      <c r="C814" t="str">
        <f t="shared" si="108"/>
        <v>IT &amp; Systems</v>
      </c>
      <c r="D814" t="s">
        <v>27</v>
      </c>
      <c r="E814" t="str">
        <f t="shared" si="109"/>
        <v>Technova</v>
      </c>
      <c r="F814">
        <v>7</v>
      </c>
      <c r="G814">
        <v>37000</v>
      </c>
      <c r="H814" s="1">
        <v>38734</v>
      </c>
      <c r="I814">
        <v>1</v>
      </c>
      <c r="J814" t="s">
        <v>57</v>
      </c>
      <c r="K814">
        <f t="shared" si="110"/>
        <v>2</v>
      </c>
      <c r="L814">
        <f t="shared" si="111"/>
        <v>5.4054054054054054E-5</v>
      </c>
      <c r="M814" t="b">
        <f t="shared" si="112"/>
        <v>0</v>
      </c>
      <c r="N814" t="b">
        <f t="shared" si="113"/>
        <v>1</v>
      </c>
      <c r="O814" t="s">
        <v>835</v>
      </c>
      <c r="P814">
        <f t="shared" si="114"/>
        <v>0.31081081081081074</v>
      </c>
      <c r="Q814">
        <f t="shared" si="115"/>
        <v>0</v>
      </c>
      <c r="R814">
        <f t="shared" si="116"/>
        <v>0.18648648648648644</v>
      </c>
    </row>
    <row r="815" spans="1:18" hidden="1">
      <c r="A815" t="s">
        <v>848</v>
      </c>
      <c r="B815" t="s">
        <v>60</v>
      </c>
      <c r="C815" t="str">
        <f t="shared" si="108"/>
        <v>Manufacturing and operations</v>
      </c>
      <c r="D815" t="s">
        <v>20</v>
      </c>
      <c r="E815" t="str">
        <f t="shared" si="109"/>
        <v>Dataverse</v>
      </c>
      <c r="F815">
        <v>1</v>
      </c>
      <c r="G815">
        <v>37000</v>
      </c>
      <c r="H815" s="1">
        <v>43732</v>
      </c>
      <c r="I815">
        <v>1</v>
      </c>
      <c r="J815" t="s">
        <v>57</v>
      </c>
      <c r="K815">
        <f t="shared" si="110"/>
        <v>2</v>
      </c>
      <c r="L815">
        <f t="shared" si="111"/>
        <v>5.4054054054054054E-5</v>
      </c>
      <c r="M815" t="b">
        <f t="shared" si="112"/>
        <v>0</v>
      </c>
      <c r="N815" t="b">
        <f t="shared" si="113"/>
        <v>0</v>
      </c>
      <c r="O815" t="s">
        <v>835</v>
      </c>
      <c r="P815">
        <f t="shared" si="114"/>
        <v>0.31081081081081074</v>
      </c>
      <c r="Q815">
        <f t="shared" si="115"/>
        <v>0</v>
      </c>
      <c r="R815">
        <f t="shared" si="116"/>
        <v>0.18648648648648644</v>
      </c>
    </row>
    <row r="816" spans="1:18" hidden="1">
      <c r="A816" t="s">
        <v>849</v>
      </c>
      <c r="B816" t="s">
        <v>67</v>
      </c>
      <c r="C816" t="str">
        <f t="shared" si="108"/>
        <v>Quality Assurance</v>
      </c>
      <c r="D816" t="s">
        <v>20</v>
      </c>
      <c r="E816" t="str">
        <f t="shared" si="109"/>
        <v>Dataverse</v>
      </c>
      <c r="F816">
        <v>4</v>
      </c>
      <c r="G816">
        <v>37000</v>
      </c>
      <c r="H816" s="1">
        <v>42984</v>
      </c>
      <c r="I816">
        <v>1</v>
      </c>
      <c r="J816" t="s">
        <v>57</v>
      </c>
      <c r="K816">
        <f t="shared" si="110"/>
        <v>2</v>
      </c>
      <c r="L816">
        <f t="shared" si="111"/>
        <v>5.4054054054054054E-5</v>
      </c>
      <c r="M816" t="b">
        <f t="shared" si="112"/>
        <v>0</v>
      </c>
      <c r="N816" t="b">
        <f t="shared" si="113"/>
        <v>0</v>
      </c>
      <c r="O816" t="s">
        <v>835</v>
      </c>
      <c r="P816">
        <f t="shared" si="114"/>
        <v>0.31081081081081074</v>
      </c>
      <c r="Q816">
        <f t="shared" si="115"/>
        <v>0</v>
      </c>
      <c r="R816">
        <f t="shared" si="116"/>
        <v>0.18648648648648644</v>
      </c>
    </row>
    <row r="817" spans="1:18" hidden="1">
      <c r="A817" t="s">
        <v>850</v>
      </c>
      <c r="B817" t="s">
        <v>102</v>
      </c>
      <c r="C817" t="str">
        <f t="shared" si="108"/>
        <v>Finance</v>
      </c>
      <c r="D817" t="s">
        <v>20</v>
      </c>
      <c r="E817" t="str">
        <f t="shared" si="109"/>
        <v>Dataverse</v>
      </c>
      <c r="F817">
        <v>16</v>
      </c>
      <c r="G817">
        <v>47000</v>
      </c>
      <c r="H817" s="1">
        <v>43619</v>
      </c>
      <c r="I817">
        <v>2</v>
      </c>
      <c r="J817" t="s">
        <v>57</v>
      </c>
      <c r="K817">
        <f t="shared" si="110"/>
        <v>2</v>
      </c>
      <c r="L817">
        <f t="shared" si="111"/>
        <v>4.2553191489361704E-5</v>
      </c>
      <c r="M817" t="b">
        <f t="shared" si="112"/>
        <v>1</v>
      </c>
      <c r="N817" t="b">
        <f t="shared" si="113"/>
        <v>1</v>
      </c>
      <c r="O817" t="s">
        <v>835</v>
      </c>
      <c r="P817">
        <f t="shared" si="114"/>
        <v>0.13829787234042554</v>
      </c>
      <c r="Q817">
        <f t="shared" si="115"/>
        <v>0.25</v>
      </c>
      <c r="R817">
        <f t="shared" si="116"/>
        <v>0.18297872340425531</v>
      </c>
    </row>
    <row r="818" spans="1:18" hidden="1">
      <c r="A818" t="s">
        <v>851</v>
      </c>
      <c r="B818" t="s">
        <v>56</v>
      </c>
      <c r="C818" t="str">
        <f t="shared" si="108"/>
        <v>IT &amp; Systems</v>
      </c>
      <c r="D818" t="s">
        <v>20</v>
      </c>
      <c r="E818" t="str">
        <f t="shared" si="109"/>
        <v>Dataverse</v>
      </c>
      <c r="F818">
        <v>2</v>
      </c>
      <c r="G818">
        <v>47000</v>
      </c>
      <c r="H818" s="1">
        <v>44581</v>
      </c>
      <c r="I818">
        <v>2</v>
      </c>
      <c r="J818" t="s">
        <v>57</v>
      </c>
      <c r="K818">
        <f t="shared" si="110"/>
        <v>2</v>
      </c>
      <c r="L818">
        <f t="shared" si="111"/>
        <v>4.2553191489361704E-5</v>
      </c>
      <c r="M818" t="b">
        <f t="shared" si="112"/>
        <v>0</v>
      </c>
      <c r="N818" t="b">
        <f t="shared" si="113"/>
        <v>0</v>
      </c>
      <c r="O818" t="s">
        <v>835</v>
      </c>
      <c r="P818">
        <f t="shared" si="114"/>
        <v>0.13829787234042554</v>
      </c>
      <c r="Q818">
        <f t="shared" si="115"/>
        <v>0.25</v>
      </c>
      <c r="R818">
        <f t="shared" si="116"/>
        <v>0.18297872340425531</v>
      </c>
    </row>
    <row r="819" spans="1:18" hidden="1">
      <c r="A819" t="s">
        <v>852</v>
      </c>
      <c r="B819" t="s">
        <v>56</v>
      </c>
      <c r="C819" t="str">
        <f t="shared" si="108"/>
        <v>IT &amp; Systems</v>
      </c>
      <c r="D819" t="s">
        <v>20</v>
      </c>
      <c r="E819" t="str">
        <f t="shared" si="109"/>
        <v>Dataverse</v>
      </c>
      <c r="F819">
        <v>6</v>
      </c>
      <c r="G819">
        <v>47000</v>
      </c>
      <c r="H819" s="1">
        <v>38591</v>
      </c>
      <c r="I819">
        <v>2</v>
      </c>
      <c r="J819" t="s">
        <v>57</v>
      </c>
      <c r="K819">
        <f t="shared" si="110"/>
        <v>2</v>
      </c>
      <c r="L819">
        <f t="shared" si="111"/>
        <v>4.2553191489361704E-5</v>
      </c>
      <c r="M819" t="b">
        <f t="shared" si="112"/>
        <v>0</v>
      </c>
      <c r="N819" t="b">
        <f t="shared" si="113"/>
        <v>1</v>
      </c>
      <c r="O819" t="s">
        <v>835</v>
      </c>
      <c r="P819">
        <f t="shared" si="114"/>
        <v>0.13829787234042554</v>
      </c>
      <c r="Q819">
        <f t="shared" si="115"/>
        <v>0.25</v>
      </c>
      <c r="R819">
        <f t="shared" si="116"/>
        <v>0.18297872340425531</v>
      </c>
    </row>
    <row r="820" spans="1:18" hidden="1">
      <c r="A820" t="s">
        <v>853</v>
      </c>
      <c r="B820" t="s">
        <v>60</v>
      </c>
      <c r="C820" t="str">
        <f t="shared" si="108"/>
        <v>Manufacturing and operations</v>
      </c>
      <c r="D820" t="s">
        <v>27</v>
      </c>
      <c r="E820" t="str">
        <f t="shared" si="109"/>
        <v>Technova</v>
      </c>
      <c r="F820">
        <v>14</v>
      </c>
      <c r="G820">
        <v>47000</v>
      </c>
      <c r="H820" s="1">
        <v>39012</v>
      </c>
      <c r="I820">
        <v>2</v>
      </c>
      <c r="J820" t="s">
        <v>57</v>
      </c>
      <c r="K820">
        <f t="shared" si="110"/>
        <v>2</v>
      </c>
      <c r="L820">
        <f t="shared" si="111"/>
        <v>4.2553191489361704E-5</v>
      </c>
      <c r="M820" t="b">
        <f t="shared" si="112"/>
        <v>0</v>
      </c>
      <c r="N820" t="b">
        <f t="shared" si="113"/>
        <v>1</v>
      </c>
      <c r="O820" t="s">
        <v>835</v>
      </c>
      <c r="P820">
        <f t="shared" si="114"/>
        <v>0.13829787234042554</v>
      </c>
      <c r="Q820">
        <f t="shared" si="115"/>
        <v>0.25</v>
      </c>
      <c r="R820">
        <f t="shared" si="116"/>
        <v>0.18297872340425531</v>
      </c>
    </row>
    <row r="821" spans="1:18" hidden="1">
      <c r="A821" t="s">
        <v>854</v>
      </c>
      <c r="B821" t="s">
        <v>224</v>
      </c>
      <c r="C821" t="str">
        <f t="shared" si="108"/>
        <v>Business Strategy</v>
      </c>
      <c r="D821" t="s">
        <v>27</v>
      </c>
      <c r="E821" t="str">
        <f t="shared" si="109"/>
        <v>Technova</v>
      </c>
      <c r="F821">
        <v>6</v>
      </c>
      <c r="G821">
        <v>71000</v>
      </c>
      <c r="H821" s="1">
        <v>41025</v>
      </c>
      <c r="I821">
        <v>2</v>
      </c>
      <c r="J821" t="s">
        <v>174</v>
      </c>
      <c r="K821">
        <f t="shared" si="110"/>
        <v>3</v>
      </c>
      <c r="L821">
        <f t="shared" si="111"/>
        <v>4.2253521126760563E-5</v>
      </c>
      <c r="M821" t="b">
        <f t="shared" si="112"/>
        <v>0</v>
      </c>
      <c r="N821" t="b">
        <f t="shared" si="113"/>
        <v>1</v>
      </c>
      <c r="O821" t="s">
        <v>835</v>
      </c>
      <c r="P821">
        <f t="shared" si="114"/>
        <v>0.13380281690140841</v>
      </c>
      <c r="Q821">
        <f t="shared" si="115"/>
        <v>0.25</v>
      </c>
      <c r="R821">
        <f t="shared" si="116"/>
        <v>0.18028169014084505</v>
      </c>
    </row>
    <row r="822" spans="1:18" hidden="1">
      <c r="A822" t="s">
        <v>855</v>
      </c>
      <c r="B822" t="s">
        <v>224</v>
      </c>
      <c r="C822" t="str">
        <f t="shared" si="108"/>
        <v>Business Strategy</v>
      </c>
      <c r="D822" t="s">
        <v>27</v>
      </c>
      <c r="E822" t="str">
        <f t="shared" si="109"/>
        <v>Technova</v>
      </c>
      <c r="F822">
        <v>13</v>
      </c>
      <c r="G822">
        <v>71000</v>
      </c>
      <c r="H822" s="1">
        <v>40178</v>
      </c>
      <c r="I822">
        <v>2</v>
      </c>
      <c r="J822" t="s">
        <v>174</v>
      </c>
      <c r="K822">
        <f t="shared" si="110"/>
        <v>3</v>
      </c>
      <c r="L822">
        <f t="shared" si="111"/>
        <v>4.2253521126760563E-5</v>
      </c>
      <c r="M822" t="b">
        <f t="shared" si="112"/>
        <v>0</v>
      </c>
      <c r="N822" t="b">
        <f t="shared" si="113"/>
        <v>1</v>
      </c>
      <c r="O822" t="s">
        <v>835</v>
      </c>
      <c r="P822">
        <f t="shared" si="114"/>
        <v>0.13380281690140841</v>
      </c>
      <c r="Q822">
        <f t="shared" si="115"/>
        <v>0.25</v>
      </c>
      <c r="R822">
        <f t="shared" si="116"/>
        <v>0.18028169014084505</v>
      </c>
    </row>
    <row r="823" spans="1:18" hidden="1">
      <c r="A823" t="s">
        <v>856</v>
      </c>
      <c r="B823" t="s">
        <v>70</v>
      </c>
      <c r="C823" t="str">
        <f t="shared" si="108"/>
        <v>Customer Experience</v>
      </c>
      <c r="D823" t="s">
        <v>27</v>
      </c>
      <c r="E823" t="str">
        <f t="shared" si="109"/>
        <v>Technova</v>
      </c>
      <c r="F823">
        <v>4</v>
      </c>
      <c r="G823">
        <v>48000</v>
      </c>
      <c r="H823" s="1">
        <v>42304</v>
      </c>
      <c r="I823">
        <v>2</v>
      </c>
      <c r="J823" t="s">
        <v>57</v>
      </c>
      <c r="K823">
        <f t="shared" si="110"/>
        <v>2</v>
      </c>
      <c r="L823">
        <f t="shared" si="111"/>
        <v>4.1666666666666665E-5</v>
      </c>
      <c r="M823" t="b">
        <f t="shared" si="112"/>
        <v>0</v>
      </c>
      <c r="N823" t="b">
        <f t="shared" si="113"/>
        <v>0</v>
      </c>
      <c r="O823" t="s">
        <v>835</v>
      </c>
      <c r="P823">
        <f t="shared" si="114"/>
        <v>0.12499999999999994</v>
      </c>
      <c r="Q823">
        <f t="shared" si="115"/>
        <v>0.25</v>
      </c>
      <c r="R823">
        <f t="shared" si="116"/>
        <v>0.17499999999999999</v>
      </c>
    </row>
    <row r="824" spans="1:18" hidden="1">
      <c r="A824" t="s">
        <v>857</v>
      </c>
      <c r="B824" t="s">
        <v>102</v>
      </c>
      <c r="C824" t="str">
        <f t="shared" si="108"/>
        <v>Finance</v>
      </c>
      <c r="D824" t="s">
        <v>20</v>
      </c>
      <c r="E824" t="str">
        <f t="shared" si="109"/>
        <v>Dataverse</v>
      </c>
      <c r="F824">
        <v>21</v>
      </c>
      <c r="G824">
        <v>48000</v>
      </c>
      <c r="H824" s="1">
        <v>38508</v>
      </c>
      <c r="I824">
        <v>2</v>
      </c>
      <c r="J824" t="s">
        <v>57</v>
      </c>
      <c r="K824">
        <f t="shared" si="110"/>
        <v>2</v>
      </c>
      <c r="L824">
        <f t="shared" si="111"/>
        <v>4.1666666666666665E-5</v>
      </c>
      <c r="M824" t="b">
        <f t="shared" si="112"/>
        <v>1</v>
      </c>
      <c r="N824" t="b">
        <f t="shared" si="113"/>
        <v>1</v>
      </c>
      <c r="O824" t="s">
        <v>835</v>
      </c>
      <c r="P824">
        <f t="shared" si="114"/>
        <v>0.12499999999999994</v>
      </c>
      <c r="Q824">
        <f t="shared" si="115"/>
        <v>0.25</v>
      </c>
      <c r="R824">
        <f t="shared" si="116"/>
        <v>0.17499999999999999</v>
      </c>
    </row>
    <row r="825" spans="1:18" hidden="1">
      <c r="A825" t="s">
        <v>858</v>
      </c>
      <c r="B825" t="s">
        <v>102</v>
      </c>
      <c r="C825" t="str">
        <f t="shared" si="108"/>
        <v>Finance</v>
      </c>
      <c r="D825" t="s">
        <v>27</v>
      </c>
      <c r="E825" t="str">
        <f t="shared" si="109"/>
        <v>Technova</v>
      </c>
      <c r="F825">
        <v>10</v>
      </c>
      <c r="G825">
        <v>48000</v>
      </c>
      <c r="H825" s="1">
        <v>42517</v>
      </c>
      <c r="I825">
        <v>2</v>
      </c>
      <c r="J825" t="s">
        <v>57</v>
      </c>
      <c r="K825">
        <f t="shared" si="110"/>
        <v>2</v>
      </c>
      <c r="L825">
        <f t="shared" si="111"/>
        <v>4.1666666666666665E-5</v>
      </c>
      <c r="M825" t="b">
        <f t="shared" si="112"/>
        <v>0</v>
      </c>
      <c r="N825" t="b">
        <f t="shared" si="113"/>
        <v>1</v>
      </c>
      <c r="O825" t="s">
        <v>835</v>
      </c>
      <c r="P825">
        <f t="shared" si="114"/>
        <v>0.12499999999999994</v>
      </c>
      <c r="Q825">
        <f t="shared" si="115"/>
        <v>0.25</v>
      </c>
      <c r="R825">
        <f t="shared" si="116"/>
        <v>0.17499999999999999</v>
      </c>
    </row>
    <row r="826" spans="1:18" hidden="1">
      <c r="A826" t="s">
        <v>859</v>
      </c>
      <c r="B826" t="s">
        <v>56</v>
      </c>
      <c r="C826" t="str">
        <f t="shared" si="108"/>
        <v>IT &amp; Systems</v>
      </c>
      <c r="D826" t="s">
        <v>27</v>
      </c>
      <c r="E826" t="str">
        <f t="shared" si="109"/>
        <v>Technova</v>
      </c>
      <c r="F826">
        <v>2</v>
      </c>
      <c r="G826">
        <v>48000</v>
      </c>
      <c r="H826" s="1">
        <v>38373</v>
      </c>
      <c r="I826">
        <v>2</v>
      </c>
      <c r="J826" t="s">
        <v>57</v>
      </c>
      <c r="K826">
        <f t="shared" si="110"/>
        <v>2</v>
      </c>
      <c r="L826">
        <f t="shared" si="111"/>
        <v>4.1666666666666665E-5</v>
      </c>
      <c r="M826" t="b">
        <f t="shared" si="112"/>
        <v>0</v>
      </c>
      <c r="N826" t="b">
        <f t="shared" si="113"/>
        <v>0</v>
      </c>
      <c r="O826" t="s">
        <v>835</v>
      </c>
      <c r="P826">
        <f t="shared" si="114"/>
        <v>0.12499999999999994</v>
      </c>
      <c r="Q826">
        <f t="shared" si="115"/>
        <v>0.25</v>
      </c>
      <c r="R826">
        <f t="shared" si="116"/>
        <v>0.17499999999999999</v>
      </c>
    </row>
    <row r="827" spans="1:18" hidden="1">
      <c r="A827" t="s">
        <v>860</v>
      </c>
      <c r="B827" t="s">
        <v>56</v>
      </c>
      <c r="C827" t="str">
        <f t="shared" si="108"/>
        <v>IT &amp; Systems</v>
      </c>
      <c r="D827" t="s">
        <v>27</v>
      </c>
      <c r="E827" t="str">
        <f t="shared" si="109"/>
        <v>Technova</v>
      </c>
      <c r="F827">
        <v>9</v>
      </c>
      <c r="G827">
        <v>48000</v>
      </c>
      <c r="H827" s="1">
        <v>42635</v>
      </c>
      <c r="I827">
        <v>2</v>
      </c>
      <c r="J827" t="s">
        <v>57</v>
      </c>
      <c r="K827">
        <f t="shared" si="110"/>
        <v>2</v>
      </c>
      <c r="L827">
        <f t="shared" si="111"/>
        <v>4.1666666666666665E-5</v>
      </c>
      <c r="M827" t="b">
        <f t="shared" si="112"/>
        <v>0</v>
      </c>
      <c r="N827" t="b">
        <f t="shared" si="113"/>
        <v>1</v>
      </c>
      <c r="O827" t="s">
        <v>835</v>
      </c>
      <c r="P827">
        <f t="shared" si="114"/>
        <v>0.12499999999999994</v>
      </c>
      <c r="Q827">
        <f t="shared" si="115"/>
        <v>0.25</v>
      </c>
      <c r="R827">
        <f t="shared" si="116"/>
        <v>0.17499999999999999</v>
      </c>
    </row>
    <row r="828" spans="1:18" hidden="1">
      <c r="A828" t="s">
        <v>861</v>
      </c>
      <c r="B828" t="s">
        <v>60</v>
      </c>
      <c r="C828" t="str">
        <f t="shared" si="108"/>
        <v>Manufacturing and operations</v>
      </c>
      <c r="D828" t="s">
        <v>20</v>
      </c>
      <c r="E828" t="str">
        <f t="shared" si="109"/>
        <v>Dataverse</v>
      </c>
      <c r="F828">
        <v>5</v>
      </c>
      <c r="G828">
        <v>48000</v>
      </c>
      <c r="H828" s="1">
        <v>42797</v>
      </c>
      <c r="I828">
        <v>2</v>
      </c>
      <c r="J828" t="s">
        <v>57</v>
      </c>
      <c r="K828">
        <f t="shared" si="110"/>
        <v>2</v>
      </c>
      <c r="L828">
        <f t="shared" si="111"/>
        <v>4.1666666666666665E-5</v>
      </c>
      <c r="M828" t="b">
        <f t="shared" si="112"/>
        <v>0</v>
      </c>
      <c r="N828" t="b">
        <f t="shared" si="113"/>
        <v>0</v>
      </c>
      <c r="O828" t="s">
        <v>835</v>
      </c>
      <c r="P828">
        <f t="shared" si="114"/>
        <v>0.12499999999999994</v>
      </c>
      <c r="Q828">
        <f t="shared" si="115"/>
        <v>0.25</v>
      </c>
      <c r="R828">
        <f t="shared" si="116"/>
        <v>0.17499999999999999</v>
      </c>
    </row>
    <row r="829" spans="1:18" hidden="1">
      <c r="A829" t="s">
        <v>862</v>
      </c>
      <c r="B829" t="s">
        <v>60</v>
      </c>
      <c r="C829" t="str">
        <f t="shared" si="108"/>
        <v>Manufacturing and operations</v>
      </c>
      <c r="D829" t="s">
        <v>27</v>
      </c>
      <c r="E829" t="str">
        <f t="shared" si="109"/>
        <v>Technova</v>
      </c>
      <c r="F829">
        <v>4</v>
      </c>
      <c r="G829">
        <v>48000</v>
      </c>
      <c r="H829" s="1">
        <v>43066</v>
      </c>
      <c r="I829">
        <v>2</v>
      </c>
      <c r="J829" t="s">
        <v>57</v>
      </c>
      <c r="K829">
        <f t="shared" si="110"/>
        <v>2</v>
      </c>
      <c r="L829">
        <f t="shared" si="111"/>
        <v>4.1666666666666665E-5</v>
      </c>
      <c r="M829" t="b">
        <f t="shared" si="112"/>
        <v>0</v>
      </c>
      <c r="N829" t="b">
        <f t="shared" si="113"/>
        <v>0</v>
      </c>
      <c r="O829" t="s">
        <v>835</v>
      </c>
      <c r="P829">
        <f t="shared" si="114"/>
        <v>0.12499999999999994</v>
      </c>
      <c r="Q829">
        <f t="shared" si="115"/>
        <v>0.25</v>
      </c>
      <c r="R829">
        <f t="shared" si="116"/>
        <v>0.17499999999999999</v>
      </c>
    </row>
    <row r="830" spans="1:18" hidden="1">
      <c r="A830" t="s">
        <v>863</v>
      </c>
      <c r="B830" t="s">
        <v>60</v>
      </c>
      <c r="C830" t="str">
        <f t="shared" si="108"/>
        <v>Manufacturing and operations</v>
      </c>
      <c r="D830" t="s">
        <v>20</v>
      </c>
      <c r="E830" t="str">
        <f t="shared" si="109"/>
        <v>Dataverse</v>
      </c>
      <c r="F830">
        <v>23</v>
      </c>
      <c r="G830">
        <v>48000</v>
      </c>
      <c r="H830" s="1">
        <v>41981</v>
      </c>
      <c r="I830">
        <v>2</v>
      </c>
      <c r="J830" t="s">
        <v>57</v>
      </c>
      <c r="K830">
        <f t="shared" si="110"/>
        <v>2</v>
      </c>
      <c r="L830">
        <f t="shared" si="111"/>
        <v>4.1666666666666665E-5</v>
      </c>
      <c r="M830" t="b">
        <f t="shared" si="112"/>
        <v>1</v>
      </c>
      <c r="N830" t="b">
        <f t="shared" si="113"/>
        <v>1</v>
      </c>
      <c r="O830" t="s">
        <v>835</v>
      </c>
      <c r="P830">
        <f t="shared" si="114"/>
        <v>0.12499999999999994</v>
      </c>
      <c r="Q830">
        <f t="shared" si="115"/>
        <v>0.25</v>
      </c>
      <c r="R830">
        <f t="shared" si="116"/>
        <v>0.17499999999999999</v>
      </c>
    </row>
    <row r="831" spans="1:18" hidden="1">
      <c r="A831" t="s">
        <v>864</v>
      </c>
      <c r="B831" t="s">
        <v>70</v>
      </c>
      <c r="C831" t="str">
        <f t="shared" si="108"/>
        <v>Customer Experience</v>
      </c>
      <c r="D831" t="s">
        <v>27</v>
      </c>
      <c r="E831" t="str">
        <f t="shared" si="109"/>
        <v>Technova</v>
      </c>
      <c r="F831">
        <v>13</v>
      </c>
      <c r="G831">
        <v>72000</v>
      </c>
      <c r="H831" s="1">
        <v>40567</v>
      </c>
      <c r="I831">
        <v>2</v>
      </c>
      <c r="J831" t="s">
        <v>174</v>
      </c>
      <c r="K831">
        <f t="shared" si="110"/>
        <v>3</v>
      </c>
      <c r="L831">
        <f t="shared" si="111"/>
        <v>4.1666666666666665E-5</v>
      </c>
      <c r="M831" t="b">
        <f t="shared" si="112"/>
        <v>0</v>
      </c>
      <c r="N831" t="b">
        <f t="shared" si="113"/>
        <v>1</v>
      </c>
      <c r="O831" t="s">
        <v>835</v>
      </c>
      <c r="P831">
        <f t="shared" si="114"/>
        <v>0.12499999999999994</v>
      </c>
      <c r="Q831">
        <f t="shared" si="115"/>
        <v>0.25</v>
      </c>
      <c r="R831">
        <f t="shared" si="116"/>
        <v>0.17499999999999999</v>
      </c>
    </row>
    <row r="832" spans="1:18" hidden="1">
      <c r="A832" t="s">
        <v>865</v>
      </c>
      <c r="B832" t="s">
        <v>70</v>
      </c>
      <c r="C832" t="str">
        <f t="shared" si="108"/>
        <v>Customer Experience</v>
      </c>
      <c r="D832" t="s">
        <v>20</v>
      </c>
      <c r="E832" t="str">
        <f t="shared" si="109"/>
        <v>Dataverse</v>
      </c>
      <c r="F832">
        <v>24</v>
      </c>
      <c r="G832">
        <v>72000</v>
      </c>
      <c r="H832" s="1">
        <v>44246</v>
      </c>
      <c r="I832">
        <v>2</v>
      </c>
      <c r="J832" t="s">
        <v>174</v>
      </c>
      <c r="K832">
        <f t="shared" si="110"/>
        <v>3</v>
      </c>
      <c r="L832">
        <f t="shared" si="111"/>
        <v>4.1666666666666665E-5</v>
      </c>
      <c r="M832" t="b">
        <f t="shared" si="112"/>
        <v>1</v>
      </c>
      <c r="N832" t="b">
        <f t="shared" si="113"/>
        <v>1</v>
      </c>
      <c r="O832" t="s">
        <v>835</v>
      </c>
      <c r="P832">
        <f t="shared" si="114"/>
        <v>0.12499999999999994</v>
      </c>
      <c r="Q832">
        <f t="shared" si="115"/>
        <v>0.25</v>
      </c>
      <c r="R832">
        <f t="shared" si="116"/>
        <v>0.17499999999999999</v>
      </c>
    </row>
    <row r="833" spans="1:18" hidden="1">
      <c r="A833" t="s">
        <v>866</v>
      </c>
      <c r="B833" t="s">
        <v>19</v>
      </c>
      <c r="C833" t="str">
        <f t="shared" si="108"/>
        <v>Research &amp; Department</v>
      </c>
      <c r="D833" t="s">
        <v>27</v>
      </c>
      <c r="E833" t="str">
        <f t="shared" si="109"/>
        <v>Technova</v>
      </c>
      <c r="F833">
        <v>15</v>
      </c>
      <c r="G833">
        <v>19000</v>
      </c>
      <c r="H833" s="1">
        <v>39278</v>
      </c>
      <c r="I833">
        <v>1</v>
      </c>
      <c r="J833" t="s">
        <v>21</v>
      </c>
      <c r="K833">
        <f t="shared" si="110"/>
        <v>1</v>
      </c>
      <c r="L833">
        <f t="shared" si="111"/>
        <v>5.2631578947368424E-5</v>
      </c>
      <c r="M833" t="b">
        <f t="shared" si="112"/>
        <v>0</v>
      </c>
      <c r="N833" t="b">
        <f t="shared" si="113"/>
        <v>1</v>
      </c>
      <c r="O833" t="s">
        <v>835</v>
      </c>
      <c r="P833">
        <f t="shared" si="114"/>
        <v>0.28947368421052633</v>
      </c>
      <c r="Q833">
        <f t="shared" si="115"/>
        <v>0</v>
      </c>
      <c r="R833">
        <f t="shared" si="116"/>
        <v>0.1736842105263158</v>
      </c>
    </row>
    <row r="834" spans="1:18" hidden="1">
      <c r="A834" t="s">
        <v>867</v>
      </c>
      <c r="B834" t="s">
        <v>74</v>
      </c>
      <c r="C834" t="str">
        <f t="shared" ref="C834:C897" si="117">TRIM(B834)</f>
        <v>Human Resources</v>
      </c>
      <c r="D834" t="s">
        <v>27</v>
      </c>
      <c r="E834" t="str">
        <f t="shared" ref="E834:E897" si="118">TRIM(D834)</f>
        <v>Technova</v>
      </c>
      <c r="F834">
        <v>7</v>
      </c>
      <c r="G834">
        <v>38000</v>
      </c>
      <c r="H834" s="1">
        <v>39071</v>
      </c>
      <c r="I834">
        <v>1</v>
      </c>
      <c r="J834" t="s">
        <v>57</v>
      </c>
      <c r="K834">
        <f t="shared" ref="K834:K897" si="119">IF(J834="A", 3, IF(J834="B", 2, 1))</f>
        <v>2</v>
      </c>
      <c r="L834">
        <f t="shared" ref="L834:L897" si="120">K834/G834</f>
        <v>5.2631578947368424E-5</v>
      </c>
      <c r="M834" t="b">
        <f t="shared" ref="M834:M897" si="121">IF(F834&gt;15, TRUE, FALSE)</f>
        <v>0</v>
      </c>
      <c r="N834" t="b">
        <f t="shared" ref="N834:N897" si="122">IF(F834&gt;5, TRUE, FALSE)</f>
        <v>1</v>
      </c>
      <c r="O834" t="s">
        <v>835</v>
      </c>
      <c r="P834">
        <f t="shared" ref="P834:P897" si="123">(L834-MIN(L:L))/(MAX(L:L)-MIN(L:L))</f>
        <v>0.28947368421052633</v>
      </c>
      <c r="Q834">
        <f t="shared" ref="Q834:Q897" si="124">(I834-1)/4</f>
        <v>0</v>
      </c>
      <c r="R834">
        <f t="shared" ref="R834:R897" si="125">(0.6*P834)+(0.4*Q834)</f>
        <v>0.1736842105263158</v>
      </c>
    </row>
    <row r="835" spans="1:18" hidden="1">
      <c r="A835" t="s">
        <v>868</v>
      </c>
      <c r="B835" t="s">
        <v>19</v>
      </c>
      <c r="C835" t="str">
        <f t="shared" si="117"/>
        <v>Research &amp; Department</v>
      </c>
      <c r="D835" t="s">
        <v>27</v>
      </c>
      <c r="E835" t="str">
        <f t="shared" si="118"/>
        <v>Technova</v>
      </c>
      <c r="F835">
        <v>22</v>
      </c>
      <c r="G835">
        <v>19000</v>
      </c>
      <c r="H835" s="1">
        <v>43538</v>
      </c>
      <c r="I835">
        <v>1</v>
      </c>
      <c r="J835" t="s">
        <v>21</v>
      </c>
      <c r="K835">
        <f t="shared" si="119"/>
        <v>1</v>
      </c>
      <c r="L835">
        <f t="shared" si="120"/>
        <v>5.2631578947368424E-5</v>
      </c>
      <c r="M835" t="b">
        <f t="shared" si="121"/>
        <v>1</v>
      </c>
      <c r="N835" t="b">
        <f t="shared" si="122"/>
        <v>1</v>
      </c>
      <c r="O835" t="s">
        <v>835</v>
      </c>
      <c r="P835">
        <f t="shared" si="123"/>
        <v>0.28947368421052633</v>
      </c>
      <c r="Q835">
        <f t="shared" si="124"/>
        <v>0</v>
      </c>
      <c r="R835">
        <f t="shared" si="125"/>
        <v>0.1736842105263158</v>
      </c>
    </row>
    <row r="836" spans="1:18" hidden="1">
      <c r="A836" t="s">
        <v>869</v>
      </c>
      <c r="B836" t="s">
        <v>56</v>
      </c>
      <c r="C836" t="str">
        <f t="shared" si="117"/>
        <v>IT &amp; Systems</v>
      </c>
      <c r="D836" t="s">
        <v>20</v>
      </c>
      <c r="E836" t="str">
        <f t="shared" si="118"/>
        <v>Dataverse</v>
      </c>
      <c r="F836">
        <v>14</v>
      </c>
      <c r="G836">
        <v>38000</v>
      </c>
      <c r="H836" s="1">
        <v>44161</v>
      </c>
      <c r="I836">
        <v>1</v>
      </c>
      <c r="J836" t="s">
        <v>57</v>
      </c>
      <c r="K836">
        <f t="shared" si="119"/>
        <v>2</v>
      </c>
      <c r="L836">
        <f t="shared" si="120"/>
        <v>5.2631578947368424E-5</v>
      </c>
      <c r="M836" t="b">
        <f t="shared" si="121"/>
        <v>0</v>
      </c>
      <c r="N836" t="b">
        <f t="shared" si="122"/>
        <v>1</v>
      </c>
      <c r="O836" t="s">
        <v>835</v>
      </c>
      <c r="P836">
        <f t="shared" si="123"/>
        <v>0.28947368421052633</v>
      </c>
      <c r="Q836">
        <f t="shared" si="124"/>
        <v>0</v>
      </c>
      <c r="R836">
        <f t="shared" si="125"/>
        <v>0.1736842105263158</v>
      </c>
    </row>
    <row r="837" spans="1:18" hidden="1">
      <c r="A837" t="s">
        <v>870</v>
      </c>
      <c r="B837" t="s">
        <v>70</v>
      </c>
      <c r="C837" t="str">
        <f t="shared" si="117"/>
        <v>Customer Experience</v>
      </c>
      <c r="D837" t="s">
        <v>20</v>
      </c>
      <c r="E837" t="str">
        <f t="shared" si="118"/>
        <v>Dataverse</v>
      </c>
      <c r="F837">
        <v>24</v>
      </c>
      <c r="G837">
        <v>73000</v>
      </c>
      <c r="H837" s="1">
        <v>44406</v>
      </c>
      <c r="I837">
        <v>2</v>
      </c>
      <c r="J837" t="s">
        <v>174</v>
      </c>
      <c r="K837">
        <f t="shared" si="119"/>
        <v>3</v>
      </c>
      <c r="L837">
        <f t="shared" si="120"/>
        <v>4.1095890410958905E-5</v>
      </c>
      <c r="M837" t="b">
        <f t="shared" si="121"/>
        <v>1</v>
      </c>
      <c r="N837" t="b">
        <f t="shared" si="122"/>
        <v>1</v>
      </c>
      <c r="O837" t="s">
        <v>835</v>
      </c>
      <c r="P837">
        <f t="shared" si="123"/>
        <v>0.11643835616438356</v>
      </c>
      <c r="Q837">
        <f t="shared" si="124"/>
        <v>0.25</v>
      </c>
      <c r="R837">
        <f t="shared" si="125"/>
        <v>0.16986301369863013</v>
      </c>
    </row>
    <row r="838" spans="1:18" hidden="1">
      <c r="A838" t="s">
        <v>871</v>
      </c>
      <c r="B838" t="s">
        <v>70</v>
      </c>
      <c r="C838" t="str">
        <f t="shared" si="117"/>
        <v>Customer Experience</v>
      </c>
      <c r="D838" t="s">
        <v>20</v>
      </c>
      <c r="E838" t="str">
        <f t="shared" si="118"/>
        <v>Dataverse</v>
      </c>
      <c r="F838">
        <v>25</v>
      </c>
      <c r="G838">
        <v>73000</v>
      </c>
      <c r="H838" s="1">
        <v>44724</v>
      </c>
      <c r="I838">
        <v>2</v>
      </c>
      <c r="J838" t="s">
        <v>174</v>
      </c>
      <c r="K838">
        <f t="shared" si="119"/>
        <v>3</v>
      </c>
      <c r="L838">
        <f t="shared" si="120"/>
        <v>4.1095890410958905E-5</v>
      </c>
      <c r="M838" t="b">
        <f t="shared" si="121"/>
        <v>1</v>
      </c>
      <c r="N838" t="b">
        <f t="shared" si="122"/>
        <v>1</v>
      </c>
      <c r="O838" t="s">
        <v>835</v>
      </c>
      <c r="P838">
        <f t="shared" si="123"/>
        <v>0.11643835616438356</v>
      </c>
      <c r="Q838">
        <f t="shared" si="124"/>
        <v>0.25</v>
      </c>
      <c r="R838">
        <f t="shared" si="125"/>
        <v>0.16986301369863013</v>
      </c>
    </row>
    <row r="839" spans="1:18" hidden="1">
      <c r="A839" t="s">
        <v>872</v>
      </c>
      <c r="B839" t="s">
        <v>70</v>
      </c>
      <c r="C839" t="str">
        <f t="shared" si="117"/>
        <v>Customer Experience</v>
      </c>
      <c r="D839" t="s">
        <v>27</v>
      </c>
      <c r="E839" t="str">
        <f t="shared" si="118"/>
        <v>Technova</v>
      </c>
      <c r="F839">
        <v>7</v>
      </c>
      <c r="G839">
        <v>73000</v>
      </c>
      <c r="H839" s="1">
        <v>39706</v>
      </c>
      <c r="I839">
        <v>2</v>
      </c>
      <c r="J839" t="s">
        <v>174</v>
      </c>
      <c r="K839">
        <f t="shared" si="119"/>
        <v>3</v>
      </c>
      <c r="L839">
        <f t="shared" si="120"/>
        <v>4.1095890410958905E-5</v>
      </c>
      <c r="M839" t="b">
        <f t="shared" si="121"/>
        <v>0</v>
      </c>
      <c r="N839" t="b">
        <f t="shared" si="122"/>
        <v>1</v>
      </c>
      <c r="O839" t="s">
        <v>835</v>
      </c>
      <c r="P839">
        <f t="shared" si="123"/>
        <v>0.11643835616438356</v>
      </c>
      <c r="Q839">
        <f t="shared" si="124"/>
        <v>0.25</v>
      </c>
      <c r="R839">
        <f t="shared" si="125"/>
        <v>0.16986301369863013</v>
      </c>
    </row>
    <row r="840" spans="1:18" hidden="1">
      <c r="A840" t="s">
        <v>873</v>
      </c>
      <c r="B840" t="s">
        <v>70</v>
      </c>
      <c r="C840" t="str">
        <f t="shared" si="117"/>
        <v>Customer Experience</v>
      </c>
      <c r="D840" t="s">
        <v>27</v>
      </c>
      <c r="E840" t="str">
        <f t="shared" si="118"/>
        <v>Technova</v>
      </c>
      <c r="F840">
        <v>20</v>
      </c>
      <c r="G840">
        <v>49000</v>
      </c>
      <c r="H840" s="1">
        <v>44928</v>
      </c>
      <c r="I840">
        <v>2</v>
      </c>
      <c r="J840" t="s">
        <v>57</v>
      </c>
      <c r="K840">
        <f t="shared" si="119"/>
        <v>2</v>
      </c>
      <c r="L840">
        <f t="shared" si="120"/>
        <v>4.0816326530612245E-5</v>
      </c>
      <c r="M840" t="b">
        <f t="shared" si="121"/>
        <v>1</v>
      </c>
      <c r="N840" t="b">
        <f t="shared" si="122"/>
        <v>1</v>
      </c>
      <c r="O840" t="s">
        <v>835</v>
      </c>
      <c r="P840">
        <f t="shared" si="123"/>
        <v>0.11224489795918365</v>
      </c>
      <c r="Q840">
        <f t="shared" si="124"/>
        <v>0.25</v>
      </c>
      <c r="R840">
        <f t="shared" si="125"/>
        <v>0.16734693877551018</v>
      </c>
    </row>
    <row r="841" spans="1:18" hidden="1">
      <c r="A841" t="s">
        <v>874</v>
      </c>
      <c r="B841" t="s">
        <v>70</v>
      </c>
      <c r="C841" t="str">
        <f t="shared" si="117"/>
        <v>Customer Experience</v>
      </c>
      <c r="D841" t="s">
        <v>20</v>
      </c>
      <c r="E841" t="str">
        <f t="shared" si="118"/>
        <v>Dataverse</v>
      </c>
      <c r="F841">
        <v>11</v>
      </c>
      <c r="G841">
        <v>49000</v>
      </c>
      <c r="H841" s="1">
        <v>42578</v>
      </c>
      <c r="I841">
        <v>2</v>
      </c>
      <c r="J841" t="s">
        <v>57</v>
      </c>
      <c r="K841">
        <f t="shared" si="119"/>
        <v>2</v>
      </c>
      <c r="L841">
        <f t="shared" si="120"/>
        <v>4.0816326530612245E-5</v>
      </c>
      <c r="M841" t="b">
        <f t="shared" si="121"/>
        <v>0</v>
      </c>
      <c r="N841" t="b">
        <f t="shared" si="122"/>
        <v>1</v>
      </c>
      <c r="O841" t="s">
        <v>835</v>
      </c>
      <c r="P841">
        <f t="shared" si="123"/>
        <v>0.11224489795918365</v>
      </c>
      <c r="Q841">
        <f t="shared" si="124"/>
        <v>0.25</v>
      </c>
      <c r="R841">
        <f t="shared" si="125"/>
        <v>0.16734693877551018</v>
      </c>
    </row>
    <row r="842" spans="1:18" hidden="1">
      <c r="A842" t="s">
        <v>875</v>
      </c>
      <c r="B842" t="s">
        <v>102</v>
      </c>
      <c r="C842" t="str">
        <f t="shared" si="117"/>
        <v>Finance</v>
      </c>
      <c r="D842" t="s">
        <v>27</v>
      </c>
      <c r="E842" t="str">
        <f t="shared" si="118"/>
        <v>Technova</v>
      </c>
      <c r="F842">
        <v>9</v>
      </c>
      <c r="G842">
        <v>49000</v>
      </c>
      <c r="H842" s="1">
        <v>41843</v>
      </c>
      <c r="I842">
        <v>2</v>
      </c>
      <c r="J842" t="s">
        <v>57</v>
      </c>
      <c r="K842">
        <f t="shared" si="119"/>
        <v>2</v>
      </c>
      <c r="L842">
        <f t="shared" si="120"/>
        <v>4.0816326530612245E-5</v>
      </c>
      <c r="M842" t="b">
        <f t="shared" si="121"/>
        <v>0</v>
      </c>
      <c r="N842" t="b">
        <f t="shared" si="122"/>
        <v>1</v>
      </c>
      <c r="O842" t="s">
        <v>835</v>
      </c>
      <c r="P842">
        <f t="shared" si="123"/>
        <v>0.11224489795918365</v>
      </c>
      <c r="Q842">
        <f t="shared" si="124"/>
        <v>0.25</v>
      </c>
      <c r="R842">
        <f t="shared" si="125"/>
        <v>0.16734693877551018</v>
      </c>
    </row>
    <row r="843" spans="1:18" hidden="1">
      <c r="A843" t="s">
        <v>876</v>
      </c>
      <c r="B843" t="s">
        <v>74</v>
      </c>
      <c r="C843" t="str">
        <f t="shared" si="117"/>
        <v>Human Resources</v>
      </c>
      <c r="D843" t="s">
        <v>20</v>
      </c>
      <c r="E843" t="str">
        <f t="shared" si="118"/>
        <v>Dataverse</v>
      </c>
      <c r="F843">
        <v>11</v>
      </c>
      <c r="G843">
        <v>49000</v>
      </c>
      <c r="H843" s="1">
        <v>40299</v>
      </c>
      <c r="I843">
        <v>2</v>
      </c>
      <c r="J843" t="s">
        <v>57</v>
      </c>
      <c r="K843">
        <f t="shared" si="119"/>
        <v>2</v>
      </c>
      <c r="L843">
        <f t="shared" si="120"/>
        <v>4.0816326530612245E-5</v>
      </c>
      <c r="M843" t="b">
        <f t="shared" si="121"/>
        <v>0</v>
      </c>
      <c r="N843" t="b">
        <f t="shared" si="122"/>
        <v>1</v>
      </c>
      <c r="O843" t="s">
        <v>835</v>
      </c>
      <c r="P843">
        <f t="shared" si="123"/>
        <v>0.11224489795918365</v>
      </c>
      <c r="Q843">
        <f t="shared" si="124"/>
        <v>0.25</v>
      </c>
      <c r="R843">
        <f t="shared" si="125"/>
        <v>0.16734693877551018</v>
      </c>
    </row>
    <row r="844" spans="1:18" hidden="1">
      <c r="A844" t="s">
        <v>877</v>
      </c>
      <c r="B844" t="s">
        <v>60</v>
      </c>
      <c r="C844" t="str">
        <f t="shared" si="117"/>
        <v>Manufacturing and operations</v>
      </c>
      <c r="D844" t="s">
        <v>20</v>
      </c>
      <c r="E844" t="str">
        <f t="shared" si="118"/>
        <v>Dataverse</v>
      </c>
      <c r="F844">
        <v>5</v>
      </c>
      <c r="G844">
        <v>49000</v>
      </c>
      <c r="H844" s="1">
        <v>42707</v>
      </c>
      <c r="I844">
        <v>2</v>
      </c>
      <c r="J844" t="s">
        <v>57</v>
      </c>
      <c r="K844">
        <f t="shared" si="119"/>
        <v>2</v>
      </c>
      <c r="L844">
        <f t="shared" si="120"/>
        <v>4.0816326530612245E-5</v>
      </c>
      <c r="M844" t="b">
        <f t="shared" si="121"/>
        <v>0</v>
      </c>
      <c r="N844" t="b">
        <f t="shared" si="122"/>
        <v>0</v>
      </c>
      <c r="O844" t="s">
        <v>835</v>
      </c>
      <c r="P844">
        <f t="shared" si="123"/>
        <v>0.11224489795918365</v>
      </c>
      <c r="Q844">
        <f t="shared" si="124"/>
        <v>0.25</v>
      </c>
      <c r="R844">
        <f t="shared" si="125"/>
        <v>0.16734693877551018</v>
      </c>
    </row>
    <row r="845" spans="1:18" hidden="1">
      <c r="A845" t="s">
        <v>878</v>
      </c>
      <c r="B845" t="s">
        <v>60</v>
      </c>
      <c r="C845" t="str">
        <f t="shared" si="117"/>
        <v>Manufacturing and operations</v>
      </c>
      <c r="D845" t="s">
        <v>27</v>
      </c>
      <c r="E845" t="str">
        <f t="shared" si="118"/>
        <v>Technova</v>
      </c>
      <c r="F845">
        <v>25</v>
      </c>
      <c r="G845">
        <v>49000</v>
      </c>
      <c r="H845" s="1">
        <v>41261</v>
      </c>
      <c r="I845">
        <v>2</v>
      </c>
      <c r="J845" t="s">
        <v>57</v>
      </c>
      <c r="K845">
        <f t="shared" si="119"/>
        <v>2</v>
      </c>
      <c r="L845">
        <f t="shared" si="120"/>
        <v>4.0816326530612245E-5</v>
      </c>
      <c r="M845" t="b">
        <f t="shared" si="121"/>
        <v>1</v>
      </c>
      <c r="N845" t="b">
        <f t="shared" si="122"/>
        <v>1</v>
      </c>
      <c r="O845" t="s">
        <v>835</v>
      </c>
      <c r="P845">
        <f t="shared" si="123"/>
        <v>0.11224489795918365</v>
      </c>
      <c r="Q845">
        <f t="shared" si="124"/>
        <v>0.25</v>
      </c>
      <c r="R845">
        <f t="shared" si="125"/>
        <v>0.16734693877551018</v>
      </c>
    </row>
    <row r="846" spans="1:18" hidden="1">
      <c r="A846" t="s">
        <v>879</v>
      </c>
      <c r="B846" t="s">
        <v>204</v>
      </c>
      <c r="C846" t="str">
        <f t="shared" si="117"/>
        <v>Administrative Services</v>
      </c>
      <c r="D846" t="s">
        <v>27</v>
      </c>
      <c r="E846" t="str">
        <f t="shared" si="118"/>
        <v>Technova</v>
      </c>
      <c r="F846">
        <v>15</v>
      </c>
      <c r="G846">
        <v>74000</v>
      </c>
      <c r="H846" s="1">
        <v>39647</v>
      </c>
      <c r="I846">
        <v>2</v>
      </c>
      <c r="J846" t="s">
        <v>174</v>
      </c>
      <c r="K846">
        <f t="shared" si="119"/>
        <v>3</v>
      </c>
      <c r="L846">
        <f t="shared" si="120"/>
        <v>4.0540540540540538E-5</v>
      </c>
      <c r="M846" t="b">
        <f t="shared" si="121"/>
        <v>0</v>
      </c>
      <c r="N846" t="b">
        <f t="shared" si="122"/>
        <v>1</v>
      </c>
      <c r="O846" t="s">
        <v>835</v>
      </c>
      <c r="P846">
        <f t="shared" si="123"/>
        <v>0.10810810810810804</v>
      </c>
      <c r="Q846">
        <f t="shared" si="124"/>
        <v>0.25</v>
      </c>
      <c r="R846">
        <f t="shared" si="125"/>
        <v>0.16486486486486485</v>
      </c>
    </row>
    <row r="847" spans="1:18" hidden="1">
      <c r="A847" t="s">
        <v>880</v>
      </c>
      <c r="B847" t="s">
        <v>102</v>
      </c>
      <c r="C847" t="str">
        <f t="shared" si="117"/>
        <v>Finance</v>
      </c>
      <c r="D847" t="s">
        <v>27</v>
      </c>
      <c r="E847" t="str">
        <f t="shared" si="118"/>
        <v>Technova</v>
      </c>
      <c r="F847">
        <v>13</v>
      </c>
      <c r="G847">
        <v>39000</v>
      </c>
      <c r="H847" s="1">
        <v>42603</v>
      </c>
      <c r="I847">
        <v>1</v>
      </c>
      <c r="J847" t="s">
        <v>57</v>
      </c>
      <c r="K847">
        <f t="shared" si="119"/>
        <v>2</v>
      </c>
      <c r="L847">
        <f t="shared" si="120"/>
        <v>5.1282051282051279E-5</v>
      </c>
      <c r="M847" t="b">
        <f t="shared" si="121"/>
        <v>0</v>
      </c>
      <c r="N847" t="b">
        <f t="shared" si="122"/>
        <v>1</v>
      </c>
      <c r="O847" t="s">
        <v>835</v>
      </c>
      <c r="P847">
        <f t="shared" si="123"/>
        <v>0.26923076923076916</v>
      </c>
      <c r="Q847">
        <f t="shared" si="124"/>
        <v>0</v>
      </c>
      <c r="R847">
        <f t="shared" si="125"/>
        <v>0.16153846153846149</v>
      </c>
    </row>
    <row r="848" spans="1:18" hidden="1">
      <c r="A848" t="s">
        <v>881</v>
      </c>
      <c r="B848" t="s">
        <v>56</v>
      </c>
      <c r="C848" t="str">
        <f t="shared" si="117"/>
        <v>IT &amp; Systems</v>
      </c>
      <c r="D848" t="s">
        <v>27</v>
      </c>
      <c r="E848" t="str">
        <f t="shared" si="118"/>
        <v>Technova</v>
      </c>
      <c r="F848">
        <v>11</v>
      </c>
      <c r="G848">
        <v>39000</v>
      </c>
      <c r="H848" s="1">
        <v>41640</v>
      </c>
      <c r="I848">
        <v>1</v>
      </c>
      <c r="J848" t="s">
        <v>57</v>
      </c>
      <c r="K848">
        <f t="shared" si="119"/>
        <v>2</v>
      </c>
      <c r="L848">
        <f t="shared" si="120"/>
        <v>5.1282051282051279E-5</v>
      </c>
      <c r="M848" t="b">
        <f t="shared" si="121"/>
        <v>0</v>
      </c>
      <c r="N848" t="b">
        <f t="shared" si="122"/>
        <v>1</v>
      </c>
      <c r="O848" t="s">
        <v>835</v>
      </c>
      <c r="P848">
        <f t="shared" si="123"/>
        <v>0.26923076923076916</v>
      </c>
      <c r="Q848">
        <f t="shared" si="124"/>
        <v>0</v>
      </c>
      <c r="R848">
        <f t="shared" si="125"/>
        <v>0.16153846153846149</v>
      </c>
    </row>
    <row r="849" spans="1:18" hidden="1">
      <c r="A849" t="s">
        <v>882</v>
      </c>
      <c r="B849" t="s">
        <v>60</v>
      </c>
      <c r="C849" t="str">
        <f t="shared" si="117"/>
        <v>Manufacturing and operations</v>
      </c>
      <c r="D849" t="s">
        <v>27</v>
      </c>
      <c r="E849" t="str">
        <f t="shared" si="118"/>
        <v>Technova</v>
      </c>
      <c r="F849">
        <v>24</v>
      </c>
      <c r="G849">
        <v>39000</v>
      </c>
      <c r="H849" s="1">
        <v>42652</v>
      </c>
      <c r="I849">
        <v>1</v>
      </c>
      <c r="J849" t="s">
        <v>57</v>
      </c>
      <c r="K849">
        <f t="shared" si="119"/>
        <v>2</v>
      </c>
      <c r="L849">
        <f t="shared" si="120"/>
        <v>5.1282051282051279E-5</v>
      </c>
      <c r="M849" t="b">
        <f t="shared" si="121"/>
        <v>1</v>
      </c>
      <c r="N849" t="b">
        <f t="shared" si="122"/>
        <v>1</v>
      </c>
      <c r="O849" t="s">
        <v>835</v>
      </c>
      <c r="P849">
        <f t="shared" si="123"/>
        <v>0.26923076923076916</v>
      </c>
      <c r="Q849">
        <f t="shared" si="124"/>
        <v>0</v>
      </c>
      <c r="R849">
        <f t="shared" si="125"/>
        <v>0.16153846153846149</v>
      </c>
    </row>
    <row r="850" spans="1:18" hidden="1">
      <c r="A850" t="s">
        <v>883</v>
      </c>
      <c r="B850" t="s">
        <v>60</v>
      </c>
      <c r="C850" t="str">
        <f t="shared" si="117"/>
        <v>Manufacturing and operations</v>
      </c>
      <c r="D850" t="s">
        <v>27</v>
      </c>
      <c r="E850" t="str">
        <f t="shared" si="118"/>
        <v>Technova</v>
      </c>
      <c r="F850">
        <v>8</v>
      </c>
      <c r="G850">
        <v>39000</v>
      </c>
      <c r="H850" s="1">
        <v>42934</v>
      </c>
      <c r="I850">
        <v>1</v>
      </c>
      <c r="J850" t="s">
        <v>57</v>
      </c>
      <c r="K850">
        <f t="shared" si="119"/>
        <v>2</v>
      </c>
      <c r="L850">
        <f t="shared" si="120"/>
        <v>5.1282051282051279E-5</v>
      </c>
      <c r="M850" t="b">
        <f t="shared" si="121"/>
        <v>0</v>
      </c>
      <c r="N850" t="b">
        <f t="shared" si="122"/>
        <v>1</v>
      </c>
      <c r="O850" t="s">
        <v>835</v>
      </c>
      <c r="P850">
        <f t="shared" si="123"/>
        <v>0.26923076923076916</v>
      </c>
      <c r="Q850">
        <f t="shared" si="124"/>
        <v>0</v>
      </c>
      <c r="R850">
        <f t="shared" si="125"/>
        <v>0.16153846153846149</v>
      </c>
    </row>
    <row r="851" spans="1:18" hidden="1">
      <c r="A851" t="s">
        <v>884</v>
      </c>
      <c r="B851" t="s">
        <v>60</v>
      </c>
      <c r="C851" t="str">
        <f t="shared" si="117"/>
        <v>Manufacturing and operations</v>
      </c>
      <c r="D851" t="s">
        <v>27</v>
      </c>
      <c r="E851" t="str">
        <f t="shared" si="118"/>
        <v>Technova</v>
      </c>
      <c r="F851">
        <v>11</v>
      </c>
      <c r="G851">
        <v>39000</v>
      </c>
      <c r="H851" s="1">
        <v>39585</v>
      </c>
      <c r="I851">
        <v>1</v>
      </c>
      <c r="J851" t="s">
        <v>57</v>
      </c>
      <c r="K851">
        <f t="shared" si="119"/>
        <v>2</v>
      </c>
      <c r="L851">
        <f t="shared" si="120"/>
        <v>5.1282051282051279E-5</v>
      </c>
      <c r="M851" t="b">
        <f t="shared" si="121"/>
        <v>0</v>
      </c>
      <c r="N851" t="b">
        <f t="shared" si="122"/>
        <v>1</v>
      </c>
      <c r="O851" t="s">
        <v>835</v>
      </c>
      <c r="P851">
        <f t="shared" si="123"/>
        <v>0.26923076923076916</v>
      </c>
      <c r="Q851">
        <f t="shared" si="124"/>
        <v>0</v>
      </c>
      <c r="R851">
        <f t="shared" si="125"/>
        <v>0.16153846153846149</v>
      </c>
    </row>
    <row r="852" spans="1:18" hidden="1">
      <c r="A852" t="s">
        <v>885</v>
      </c>
      <c r="B852" t="s">
        <v>60</v>
      </c>
      <c r="C852" t="str">
        <f t="shared" si="117"/>
        <v>Manufacturing and operations</v>
      </c>
      <c r="D852" t="s">
        <v>27</v>
      </c>
      <c r="E852" t="str">
        <f t="shared" si="118"/>
        <v>Technova</v>
      </c>
      <c r="F852">
        <v>13</v>
      </c>
      <c r="G852">
        <v>39000</v>
      </c>
      <c r="H852" s="1">
        <v>42241</v>
      </c>
      <c r="I852">
        <v>1</v>
      </c>
      <c r="J852" t="s">
        <v>57</v>
      </c>
      <c r="K852">
        <f t="shared" si="119"/>
        <v>2</v>
      </c>
      <c r="L852">
        <f t="shared" si="120"/>
        <v>5.1282051282051279E-5</v>
      </c>
      <c r="M852" t="b">
        <f t="shared" si="121"/>
        <v>0</v>
      </c>
      <c r="N852" t="b">
        <f t="shared" si="122"/>
        <v>1</v>
      </c>
      <c r="O852" t="s">
        <v>835</v>
      </c>
      <c r="P852">
        <f t="shared" si="123"/>
        <v>0.26923076923076916</v>
      </c>
      <c r="Q852">
        <f t="shared" si="124"/>
        <v>0</v>
      </c>
      <c r="R852">
        <f t="shared" si="125"/>
        <v>0.16153846153846149</v>
      </c>
    </row>
    <row r="853" spans="1:18" hidden="1">
      <c r="A853" t="s">
        <v>886</v>
      </c>
      <c r="B853" t="s">
        <v>67</v>
      </c>
      <c r="C853" t="str">
        <f t="shared" si="117"/>
        <v>Quality Assurance</v>
      </c>
      <c r="D853" t="s">
        <v>27</v>
      </c>
      <c r="E853" t="str">
        <f t="shared" si="118"/>
        <v>Technova</v>
      </c>
      <c r="F853">
        <v>11</v>
      </c>
      <c r="G853">
        <v>39000</v>
      </c>
      <c r="H853" s="1">
        <v>39079</v>
      </c>
      <c r="I853">
        <v>1</v>
      </c>
      <c r="J853" t="s">
        <v>57</v>
      </c>
      <c r="K853">
        <f t="shared" si="119"/>
        <v>2</v>
      </c>
      <c r="L853">
        <f t="shared" si="120"/>
        <v>5.1282051282051279E-5</v>
      </c>
      <c r="M853" t="b">
        <f t="shared" si="121"/>
        <v>0</v>
      </c>
      <c r="N853" t="b">
        <f t="shared" si="122"/>
        <v>1</v>
      </c>
      <c r="O853" t="s">
        <v>835</v>
      </c>
      <c r="P853">
        <f t="shared" si="123"/>
        <v>0.26923076923076916</v>
      </c>
      <c r="Q853">
        <f t="shared" si="124"/>
        <v>0</v>
      </c>
      <c r="R853">
        <f t="shared" si="125"/>
        <v>0.16153846153846149</v>
      </c>
    </row>
    <row r="854" spans="1:18" hidden="1">
      <c r="A854" t="s">
        <v>887</v>
      </c>
      <c r="B854" t="s">
        <v>102</v>
      </c>
      <c r="C854" t="str">
        <f t="shared" si="117"/>
        <v>Finance</v>
      </c>
      <c r="D854" t="s">
        <v>20</v>
      </c>
      <c r="E854" t="str">
        <f t="shared" si="118"/>
        <v>Dataverse</v>
      </c>
      <c r="F854">
        <v>3</v>
      </c>
      <c r="G854">
        <v>50000</v>
      </c>
      <c r="H854" s="1">
        <v>41571</v>
      </c>
      <c r="I854">
        <v>2</v>
      </c>
      <c r="J854" t="s">
        <v>57</v>
      </c>
      <c r="K854">
        <f t="shared" si="119"/>
        <v>2</v>
      </c>
      <c r="L854">
        <f t="shared" si="120"/>
        <v>4.0000000000000003E-5</v>
      </c>
      <c r="M854" t="b">
        <f t="shared" si="121"/>
        <v>0</v>
      </c>
      <c r="N854" t="b">
        <f t="shared" si="122"/>
        <v>0</v>
      </c>
      <c r="O854" t="s">
        <v>835</v>
      </c>
      <c r="P854">
        <f t="shared" si="123"/>
        <v>0.10000000000000002</v>
      </c>
      <c r="Q854">
        <f t="shared" si="124"/>
        <v>0.25</v>
      </c>
      <c r="R854">
        <f t="shared" si="125"/>
        <v>0.16000000000000003</v>
      </c>
    </row>
    <row r="855" spans="1:18" hidden="1">
      <c r="A855" t="s">
        <v>888</v>
      </c>
      <c r="B855" t="s">
        <v>19</v>
      </c>
      <c r="C855" t="str">
        <f t="shared" si="117"/>
        <v>Research &amp; Department</v>
      </c>
      <c r="D855" t="s">
        <v>20</v>
      </c>
      <c r="E855" t="str">
        <f t="shared" si="118"/>
        <v>Dataverse</v>
      </c>
      <c r="F855">
        <v>11</v>
      </c>
      <c r="G855">
        <v>25000</v>
      </c>
      <c r="H855" s="1">
        <v>41065</v>
      </c>
      <c r="I855">
        <v>2</v>
      </c>
      <c r="J855" t="s">
        <v>21</v>
      </c>
      <c r="K855">
        <f t="shared" si="119"/>
        <v>1</v>
      </c>
      <c r="L855">
        <f t="shared" si="120"/>
        <v>4.0000000000000003E-5</v>
      </c>
      <c r="M855" t="b">
        <f t="shared" si="121"/>
        <v>0</v>
      </c>
      <c r="N855" t="b">
        <f t="shared" si="122"/>
        <v>1</v>
      </c>
      <c r="O855" t="s">
        <v>835</v>
      </c>
      <c r="P855">
        <f t="shared" si="123"/>
        <v>0.10000000000000002</v>
      </c>
      <c r="Q855">
        <f t="shared" si="124"/>
        <v>0.25</v>
      </c>
      <c r="R855">
        <f t="shared" si="125"/>
        <v>0.16000000000000003</v>
      </c>
    </row>
    <row r="856" spans="1:18" hidden="1">
      <c r="A856" t="s">
        <v>889</v>
      </c>
      <c r="B856" t="s">
        <v>19</v>
      </c>
      <c r="C856" t="str">
        <f t="shared" si="117"/>
        <v>Research &amp; Department</v>
      </c>
      <c r="D856" t="s">
        <v>20</v>
      </c>
      <c r="E856" t="str">
        <f t="shared" si="118"/>
        <v>Dataverse</v>
      </c>
      <c r="F856">
        <v>5</v>
      </c>
      <c r="G856">
        <v>25000</v>
      </c>
      <c r="H856" s="1">
        <v>41757</v>
      </c>
      <c r="I856">
        <v>2</v>
      </c>
      <c r="J856" t="s">
        <v>21</v>
      </c>
      <c r="K856">
        <f t="shared" si="119"/>
        <v>1</v>
      </c>
      <c r="L856">
        <f t="shared" si="120"/>
        <v>4.0000000000000003E-5</v>
      </c>
      <c r="M856" t="b">
        <f t="shared" si="121"/>
        <v>0</v>
      </c>
      <c r="N856" t="b">
        <f t="shared" si="122"/>
        <v>0</v>
      </c>
      <c r="O856" t="s">
        <v>835</v>
      </c>
      <c r="P856">
        <f t="shared" si="123"/>
        <v>0.10000000000000002</v>
      </c>
      <c r="Q856">
        <f t="shared" si="124"/>
        <v>0.25</v>
      </c>
      <c r="R856">
        <f t="shared" si="125"/>
        <v>0.16000000000000003</v>
      </c>
    </row>
    <row r="857" spans="1:18" hidden="1">
      <c r="A857" t="s">
        <v>890</v>
      </c>
      <c r="B857" t="s">
        <v>70</v>
      </c>
      <c r="C857" t="str">
        <f t="shared" si="117"/>
        <v>Customer Experience</v>
      </c>
      <c r="D857" t="s">
        <v>20</v>
      </c>
      <c r="E857" t="str">
        <f t="shared" si="118"/>
        <v>Dataverse</v>
      </c>
      <c r="F857">
        <v>19</v>
      </c>
      <c r="G857">
        <v>75000</v>
      </c>
      <c r="H857" s="1">
        <v>43526</v>
      </c>
      <c r="I857">
        <v>2</v>
      </c>
      <c r="J857" t="s">
        <v>174</v>
      </c>
      <c r="K857">
        <f t="shared" si="119"/>
        <v>3</v>
      </c>
      <c r="L857">
        <f t="shared" si="120"/>
        <v>4.0000000000000003E-5</v>
      </c>
      <c r="M857" t="b">
        <f t="shared" si="121"/>
        <v>1</v>
      </c>
      <c r="N857" t="b">
        <f t="shared" si="122"/>
        <v>1</v>
      </c>
      <c r="O857" t="s">
        <v>835</v>
      </c>
      <c r="P857">
        <f t="shared" si="123"/>
        <v>0.10000000000000002</v>
      </c>
      <c r="Q857">
        <f t="shared" si="124"/>
        <v>0.25</v>
      </c>
      <c r="R857">
        <f t="shared" si="125"/>
        <v>0.16000000000000003</v>
      </c>
    </row>
    <row r="858" spans="1:18" hidden="1">
      <c r="A858" t="s">
        <v>891</v>
      </c>
      <c r="B858" t="s">
        <v>60</v>
      </c>
      <c r="C858" t="str">
        <f t="shared" si="117"/>
        <v>Manufacturing and operations</v>
      </c>
      <c r="D858" t="s">
        <v>20</v>
      </c>
      <c r="E858" t="str">
        <f t="shared" si="118"/>
        <v>Dataverse</v>
      </c>
      <c r="F858">
        <v>19</v>
      </c>
      <c r="G858">
        <v>50000</v>
      </c>
      <c r="H858" s="1">
        <v>40420</v>
      </c>
      <c r="I858">
        <v>2</v>
      </c>
      <c r="J858" t="s">
        <v>57</v>
      </c>
      <c r="K858">
        <f t="shared" si="119"/>
        <v>2</v>
      </c>
      <c r="L858">
        <f t="shared" si="120"/>
        <v>4.0000000000000003E-5</v>
      </c>
      <c r="M858" t="b">
        <f t="shared" si="121"/>
        <v>1</v>
      </c>
      <c r="N858" t="b">
        <f t="shared" si="122"/>
        <v>1</v>
      </c>
      <c r="O858" t="s">
        <v>835</v>
      </c>
      <c r="P858">
        <f t="shared" si="123"/>
        <v>0.10000000000000002</v>
      </c>
      <c r="Q858">
        <f t="shared" si="124"/>
        <v>0.25</v>
      </c>
      <c r="R858">
        <f t="shared" si="125"/>
        <v>0.16000000000000003</v>
      </c>
    </row>
    <row r="859" spans="1:18" hidden="1">
      <c r="A859" t="s">
        <v>892</v>
      </c>
      <c r="B859" t="s">
        <v>60</v>
      </c>
      <c r="C859" t="str">
        <f t="shared" si="117"/>
        <v>Manufacturing and operations</v>
      </c>
      <c r="D859" t="s">
        <v>20</v>
      </c>
      <c r="E859" t="str">
        <f t="shared" si="118"/>
        <v>Dataverse</v>
      </c>
      <c r="F859">
        <v>16</v>
      </c>
      <c r="G859">
        <v>50000</v>
      </c>
      <c r="H859" s="1">
        <v>39461</v>
      </c>
      <c r="I859">
        <v>2</v>
      </c>
      <c r="J859" t="s">
        <v>57</v>
      </c>
      <c r="K859">
        <f t="shared" si="119"/>
        <v>2</v>
      </c>
      <c r="L859">
        <f t="shared" si="120"/>
        <v>4.0000000000000003E-5</v>
      </c>
      <c r="M859" t="b">
        <f t="shared" si="121"/>
        <v>1</v>
      </c>
      <c r="N859" t="b">
        <f t="shared" si="122"/>
        <v>1</v>
      </c>
      <c r="O859" t="s">
        <v>835</v>
      </c>
      <c r="P859">
        <f t="shared" si="123"/>
        <v>0.10000000000000002</v>
      </c>
      <c r="Q859">
        <f t="shared" si="124"/>
        <v>0.25</v>
      </c>
      <c r="R859">
        <f t="shared" si="125"/>
        <v>0.16000000000000003</v>
      </c>
    </row>
    <row r="860" spans="1:18" hidden="1">
      <c r="A860" t="s">
        <v>893</v>
      </c>
      <c r="B860" t="s">
        <v>67</v>
      </c>
      <c r="C860" t="str">
        <f t="shared" si="117"/>
        <v>Quality Assurance</v>
      </c>
      <c r="D860" t="s">
        <v>20</v>
      </c>
      <c r="E860" t="str">
        <f t="shared" si="118"/>
        <v>Dataverse</v>
      </c>
      <c r="F860">
        <v>15</v>
      </c>
      <c r="G860">
        <v>50000</v>
      </c>
      <c r="H860" s="1">
        <v>40582</v>
      </c>
      <c r="I860">
        <v>2</v>
      </c>
      <c r="J860" t="s">
        <v>57</v>
      </c>
      <c r="K860">
        <f t="shared" si="119"/>
        <v>2</v>
      </c>
      <c r="L860">
        <f t="shared" si="120"/>
        <v>4.0000000000000003E-5</v>
      </c>
      <c r="M860" t="b">
        <f t="shared" si="121"/>
        <v>0</v>
      </c>
      <c r="N860" t="b">
        <f t="shared" si="122"/>
        <v>1</v>
      </c>
      <c r="O860" t="s">
        <v>835</v>
      </c>
      <c r="P860">
        <f t="shared" si="123"/>
        <v>0.10000000000000002</v>
      </c>
      <c r="Q860">
        <f t="shared" si="124"/>
        <v>0.25</v>
      </c>
      <c r="R860">
        <f t="shared" si="125"/>
        <v>0.16000000000000003</v>
      </c>
    </row>
    <row r="861" spans="1:18" hidden="1">
      <c r="A861" t="s">
        <v>894</v>
      </c>
      <c r="B861" t="s">
        <v>204</v>
      </c>
      <c r="C861" t="str">
        <f t="shared" si="117"/>
        <v>Administrative Services</v>
      </c>
      <c r="D861" t="s">
        <v>27</v>
      </c>
      <c r="E861" t="str">
        <f t="shared" si="118"/>
        <v>Technova</v>
      </c>
      <c r="F861">
        <v>19</v>
      </c>
      <c r="G861">
        <v>76000</v>
      </c>
      <c r="H861" s="1">
        <v>41310</v>
      </c>
      <c r="I861">
        <v>2</v>
      </c>
      <c r="J861" t="s">
        <v>174</v>
      </c>
      <c r="K861">
        <f t="shared" si="119"/>
        <v>3</v>
      </c>
      <c r="L861">
        <f t="shared" si="120"/>
        <v>3.9473684210526316E-5</v>
      </c>
      <c r="M861" t="b">
        <f t="shared" si="121"/>
        <v>1</v>
      </c>
      <c r="N861" t="b">
        <f t="shared" si="122"/>
        <v>1</v>
      </c>
      <c r="O861" t="s">
        <v>835</v>
      </c>
      <c r="P861">
        <f t="shared" si="123"/>
        <v>9.2105263157894718E-2</v>
      </c>
      <c r="Q861">
        <f t="shared" si="124"/>
        <v>0.25</v>
      </c>
      <c r="R861">
        <f t="shared" si="125"/>
        <v>0.15526315789473683</v>
      </c>
    </row>
    <row r="862" spans="1:18" hidden="1">
      <c r="A862" t="s">
        <v>895</v>
      </c>
      <c r="B862" t="s">
        <v>224</v>
      </c>
      <c r="C862" t="str">
        <f t="shared" si="117"/>
        <v>Business Strategy</v>
      </c>
      <c r="D862" t="s">
        <v>27</v>
      </c>
      <c r="E862" t="str">
        <f t="shared" si="118"/>
        <v>Technova</v>
      </c>
      <c r="F862">
        <v>20</v>
      </c>
      <c r="G862">
        <v>76000</v>
      </c>
      <c r="H862" s="1">
        <v>39225</v>
      </c>
      <c r="I862">
        <v>2</v>
      </c>
      <c r="J862" t="s">
        <v>174</v>
      </c>
      <c r="K862">
        <f t="shared" si="119"/>
        <v>3</v>
      </c>
      <c r="L862">
        <f t="shared" si="120"/>
        <v>3.9473684210526316E-5</v>
      </c>
      <c r="M862" t="b">
        <f t="shared" si="121"/>
        <v>1</v>
      </c>
      <c r="N862" t="b">
        <f t="shared" si="122"/>
        <v>1</v>
      </c>
      <c r="O862" t="s">
        <v>835</v>
      </c>
      <c r="P862">
        <f t="shared" si="123"/>
        <v>9.2105263157894718E-2</v>
      </c>
      <c r="Q862">
        <f t="shared" si="124"/>
        <v>0.25</v>
      </c>
      <c r="R862">
        <f t="shared" si="125"/>
        <v>0.15526315789473683</v>
      </c>
    </row>
    <row r="863" spans="1:18" hidden="1">
      <c r="A863" t="s">
        <v>896</v>
      </c>
      <c r="B863" t="s">
        <v>224</v>
      </c>
      <c r="C863" t="str">
        <f t="shared" si="117"/>
        <v>Business Strategy</v>
      </c>
      <c r="D863" t="s">
        <v>20</v>
      </c>
      <c r="E863" t="str">
        <f t="shared" si="118"/>
        <v>Dataverse</v>
      </c>
      <c r="F863">
        <v>14</v>
      </c>
      <c r="G863">
        <v>76000</v>
      </c>
      <c r="H863" s="1">
        <v>41327</v>
      </c>
      <c r="I863">
        <v>2</v>
      </c>
      <c r="J863" t="s">
        <v>174</v>
      </c>
      <c r="K863">
        <f t="shared" si="119"/>
        <v>3</v>
      </c>
      <c r="L863">
        <f t="shared" si="120"/>
        <v>3.9473684210526316E-5</v>
      </c>
      <c r="M863" t="b">
        <f t="shared" si="121"/>
        <v>0</v>
      </c>
      <c r="N863" t="b">
        <f t="shared" si="122"/>
        <v>1</v>
      </c>
      <c r="O863" t="s">
        <v>835</v>
      </c>
      <c r="P863">
        <f t="shared" si="123"/>
        <v>9.2105263157894718E-2</v>
      </c>
      <c r="Q863">
        <f t="shared" si="124"/>
        <v>0.25</v>
      </c>
      <c r="R863">
        <f t="shared" si="125"/>
        <v>0.15526315789473683</v>
      </c>
    </row>
    <row r="864" spans="1:18" hidden="1">
      <c r="A864" t="s">
        <v>897</v>
      </c>
      <c r="B864" t="s">
        <v>102</v>
      </c>
      <c r="C864" t="str">
        <f t="shared" si="117"/>
        <v>Finance</v>
      </c>
      <c r="D864" t="s">
        <v>27</v>
      </c>
      <c r="E864" t="str">
        <f t="shared" si="118"/>
        <v>Technova</v>
      </c>
      <c r="F864">
        <v>13</v>
      </c>
      <c r="G864">
        <v>40000</v>
      </c>
      <c r="H864" s="1">
        <v>41452</v>
      </c>
      <c r="I864">
        <v>1</v>
      </c>
      <c r="J864" t="s">
        <v>57</v>
      </c>
      <c r="K864">
        <f t="shared" si="119"/>
        <v>2</v>
      </c>
      <c r="L864">
        <f t="shared" si="120"/>
        <v>5.0000000000000002E-5</v>
      </c>
      <c r="M864" t="b">
        <f t="shared" si="121"/>
        <v>0</v>
      </c>
      <c r="N864" t="b">
        <f t="shared" si="122"/>
        <v>1</v>
      </c>
      <c r="O864" t="s">
        <v>835</v>
      </c>
      <c r="P864">
        <f t="shared" si="123"/>
        <v>0.25</v>
      </c>
      <c r="Q864">
        <f t="shared" si="124"/>
        <v>0</v>
      </c>
      <c r="R864">
        <f t="shared" si="125"/>
        <v>0.15</v>
      </c>
    </row>
    <row r="865" spans="1:18" hidden="1">
      <c r="A865" t="s">
        <v>898</v>
      </c>
      <c r="B865" t="s">
        <v>19</v>
      </c>
      <c r="C865" t="str">
        <f t="shared" si="117"/>
        <v>Research &amp; Department</v>
      </c>
      <c r="D865" t="s">
        <v>27</v>
      </c>
      <c r="E865" t="str">
        <f t="shared" si="118"/>
        <v>Technova</v>
      </c>
      <c r="F865">
        <v>25</v>
      </c>
      <c r="G865">
        <v>20000</v>
      </c>
      <c r="H865" s="1">
        <v>43498</v>
      </c>
      <c r="I865">
        <v>1</v>
      </c>
      <c r="J865" t="s">
        <v>21</v>
      </c>
      <c r="K865">
        <f t="shared" si="119"/>
        <v>1</v>
      </c>
      <c r="L865">
        <f t="shared" si="120"/>
        <v>5.0000000000000002E-5</v>
      </c>
      <c r="M865" t="b">
        <f t="shared" si="121"/>
        <v>1</v>
      </c>
      <c r="N865" t="b">
        <f t="shared" si="122"/>
        <v>1</v>
      </c>
      <c r="O865" t="s">
        <v>835</v>
      </c>
      <c r="P865">
        <f t="shared" si="123"/>
        <v>0.25</v>
      </c>
      <c r="Q865">
        <f t="shared" si="124"/>
        <v>0</v>
      </c>
      <c r="R865">
        <f t="shared" si="125"/>
        <v>0.15</v>
      </c>
    </row>
    <row r="866" spans="1:18" hidden="1">
      <c r="A866" t="s">
        <v>899</v>
      </c>
      <c r="B866" t="s">
        <v>25</v>
      </c>
      <c r="C866" t="str">
        <f t="shared" si="117"/>
        <v>Sales &amp; Marketing</v>
      </c>
      <c r="D866" t="s">
        <v>27</v>
      </c>
      <c r="E866" t="str">
        <f t="shared" si="118"/>
        <v>Technova</v>
      </c>
      <c r="F866">
        <v>17</v>
      </c>
      <c r="G866">
        <v>20000</v>
      </c>
      <c r="H866" s="1">
        <v>42934</v>
      </c>
      <c r="I866">
        <v>1</v>
      </c>
      <c r="J866" t="s">
        <v>21</v>
      </c>
      <c r="K866">
        <f t="shared" si="119"/>
        <v>1</v>
      </c>
      <c r="L866">
        <f t="shared" si="120"/>
        <v>5.0000000000000002E-5</v>
      </c>
      <c r="M866" t="b">
        <f t="shared" si="121"/>
        <v>1</v>
      </c>
      <c r="N866" t="b">
        <f t="shared" si="122"/>
        <v>1</v>
      </c>
      <c r="O866" t="s">
        <v>835</v>
      </c>
      <c r="P866">
        <f t="shared" si="123"/>
        <v>0.25</v>
      </c>
      <c r="Q866">
        <f t="shared" si="124"/>
        <v>0</v>
      </c>
      <c r="R866">
        <f t="shared" si="125"/>
        <v>0.15</v>
      </c>
    </row>
    <row r="867" spans="1:18" hidden="1">
      <c r="A867" t="s">
        <v>900</v>
      </c>
      <c r="B867" t="s">
        <v>25</v>
      </c>
      <c r="C867" t="str">
        <f t="shared" si="117"/>
        <v>Sales &amp; Marketing</v>
      </c>
      <c r="D867" t="s">
        <v>20</v>
      </c>
      <c r="E867" t="str">
        <f t="shared" si="118"/>
        <v>Dataverse</v>
      </c>
      <c r="F867">
        <v>23</v>
      </c>
      <c r="G867">
        <v>20000</v>
      </c>
      <c r="H867" s="1">
        <v>45037</v>
      </c>
      <c r="I867">
        <v>1</v>
      </c>
      <c r="J867" t="s">
        <v>21</v>
      </c>
      <c r="K867">
        <f t="shared" si="119"/>
        <v>1</v>
      </c>
      <c r="L867">
        <f t="shared" si="120"/>
        <v>5.0000000000000002E-5</v>
      </c>
      <c r="M867" t="b">
        <f t="shared" si="121"/>
        <v>1</v>
      </c>
      <c r="N867" t="b">
        <f t="shared" si="122"/>
        <v>1</v>
      </c>
      <c r="O867" t="s">
        <v>835</v>
      </c>
      <c r="P867">
        <f t="shared" si="123"/>
        <v>0.25</v>
      </c>
      <c r="Q867">
        <f t="shared" si="124"/>
        <v>0</v>
      </c>
      <c r="R867">
        <f t="shared" si="125"/>
        <v>0.15</v>
      </c>
    </row>
    <row r="868" spans="1:18" hidden="1">
      <c r="A868" t="s">
        <v>901</v>
      </c>
      <c r="B868" t="s">
        <v>25</v>
      </c>
      <c r="C868" t="str">
        <f t="shared" si="117"/>
        <v>Sales &amp; Marketing</v>
      </c>
      <c r="D868" t="s">
        <v>20</v>
      </c>
      <c r="E868" t="str">
        <f t="shared" si="118"/>
        <v>Dataverse</v>
      </c>
      <c r="F868">
        <v>4</v>
      </c>
      <c r="G868">
        <v>20000</v>
      </c>
      <c r="H868" s="1">
        <v>44763</v>
      </c>
      <c r="I868">
        <v>1</v>
      </c>
      <c r="J868" t="s">
        <v>21</v>
      </c>
      <c r="K868">
        <f t="shared" si="119"/>
        <v>1</v>
      </c>
      <c r="L868">
        <f t="shared" si="120"/>
        <v>5.0000000000000002E-5</v>
      </c>
      <c r="M868" t="b">
        <f t="shared" si="121"/>
        <v>0</v>
      </c>
      <c r="N868" t="b">
        <f t="shared" si="122"/>
        <v>0</v>
      </c>
      <c r="O868" t="s">
        <v>835</v>
      </c>
      <c r="P868">
        <f t="shared" si="123"/>
        <v>0.25</v>
      </c>
      <c r="Q868">
        <f t="shared" si="124"/>
        <v>0</v>
      </c>
      <c r="R868">
        <f t="shared" si="125"/>
        <v>0.15</v>
      </c>
    </row>
    <row r="869" spans="1:18" hidden="1">
      <c r="A869" t="s">
        <v>902</v>
      </c>
      <c r="B869" t="s">
        <v>60</v>
      </c>
      <c r="C869" t="str">
        <f t="shared" si="117"/>
        <v>Manufacturing and operations</v>
      </c>
      <c r="D869" t="s">
        <v>27</v>
      </c>
      <c r="E869" t="str">
        <f t="shared" si="118"/>
        <v>Technova</v>
      </c>
      <c r="F869">
        <v>8</v>
      </c>
      <c r="G869">
        <v>40000</v>
      </c>
      <c r="H869" s="1">
        <v>43264</v>
      </c>
      <c r="I869">
        <v>1</v>
      </c>
      <c r="J869" t="s">
        <v>57</v>
      </c>
      <c r="K869">
        <f t="shared" si="119"/>
        <v>2</v>
      </c>
      <c r="L869">
        <f t="shared" si="120"/>
        <v>5.0000000000000002E-5</v>
      </c>
      <c r="M869" t="b">
        <f t="shared" si="121"/>
        <v>0</v>
      </c>
      <c r="N869" t="b">
        <f t="shared" si="122"/>
        <v>1</v>
      </c>
      <c r="O869" t="s">
        <v>835</v>
      </c>
      <c r="P869">
        <f t="shared" si="123"/>
        <v>0.25</v>
      </c>
      <c r="Q869">
        <f t="shared" si="124"/>
        <v>0</v>
      </c>
      <c r="R869">
        <f t="shared" si="125"/>
        <v>0.15</v>
      </c>
    </row>
    <row r="870" spans="1:18" hidden="1">
      <c r="A870" t="s">
        <v>903</v>
      </c>
      <c r="B870" t="s">
        <v>60</v>
      </c>
      <c r="C870" t="str">
        <f t="shared" si="117"/>
        <v>Manufacturing and operations</v>
      </c>
      <c r="D870" t="s">
        <v>27</v>
      </c>
      <c r="E870" t="str">
        <f t="shared" si="118"/>
        <v>Technova</v>
      </c>
      <c r="F870">
        <v>8</v>
      </c>
      <c r="G870">
        <v>40000</v>
      </c>
      <c r="H870" s="1">
        <v>38526</v>
      </c>
      <c r="I870">
        <v>1</v>
      </c>
      <c r="J870" t="s">
        <v>57</v>
      </c>
      <c r="K870">
        <f t="shared" si="119"/>
        <v>2</v>
      </c>
      <c r="L870">
        <f t="shared" si="120"/>
        <v>5.0000000000000002E-5</v>
      </c>
      <c r="M870" t="b">
        <f t="shared" si="121"/>
        <v>0</v>
      </c>
      <c r="N870" t="b">
        <f t="shared" si="122"/>
        <v>1</v>
      </c>
      <c r="O870" t="s">
        <v>835</v>
      </c>
      <c r="P870">
        <f t="shared" si="123"/>
        <v>0.25</v>
      </c>
      <c r="Q870">
        <f t="shared" si="124"/>
        <v>0</v>
      </c>
      <c r="R870">
        <f t="shared" si="125"/>
        <v>0.15</v>
      </c>
    </row>
    <row r="871" spans="1:18" hidden="1">
      <c r="A871" t="s">
        <v>904</v>
      </c>
      <c r="B871" t="s">
        <v>60</v>
      </c>
      <c r="C871" t="str">
        <f t="shared" si="117"/>
        <v>Manufacturing and operations</v>
      </c>
      <c r="D871" t="s">
        <v>27</v>
      </c>
      <c r="E871" t="str">
        <f t="shared" si="118"/>
        <v>Technova</v>
      </c>
      <c r="F871">
        <v>10</v>
      </c>
      <c r="G871">
        <v>40000</v>
      </c>
      <c r="H871" s="1">
        <v>45213</v>
      </c>
      <c r="I871">
        <v>1</v>
      </c>
      <c r="J871" t="s">
        <v>57</v>
      </c>
      <c r="K871">
        <f t="shared" si="119"/>
        <v>2</v>
      </c>
      <c r="L871">
        <f t="shared" si="120"/>
        <v>5.0000000000000002E-5</v>
      </c>
      <c r="M871" t="b">
        <f t="shared" si="121"/>
        <v>0</v>
      </c>
      <c r="N871" t="b">
        <f t="shared" si="122"/>
        <v>1</v>
      </c>
      <c r="O871" t="s">
        <v>835</v>
      </c>
      <c r="P871">
        <f t="shared" si="123"/>
        <v>0.25</v>
      </c>
      <c r="Q871">
        <f t="shared" si="124"/>
        <v>0</v>
      </c>
      <c r="R871">
        <f t="shared" si="125"/>
        <v>0.15</v>
      </c>
    </row>
    <row r="872" spans="1:18" hidden="1">
      <c r="A872" t="s">
        <v>905</v>
      </c>
      <c r="B872" t="s">
        <v>25</v>
      </c>
      <c r="C872" t="str">
        <f t="shared" si="117"/>
        <v>Sales &amp; Marketing</v>
      </c>
      <c r="D872" t="s">
        <v>20</v>
      </c>
      <c r="E872" t="str">
        <f t="shared" si="118"/>
        <v>Dataverse</v>
      </c>
      <c r="F872">
        <v>23</v>
      </c>
      <c r="G872">
        <v>20000</v>
      </c>
      <c r="H872" s="1">
        <v>44240</v>
      </c>
      <c r="I872">
        <v>1</v>
      </c>
      <c r="J872" t="s">
        <v>21</v>
      </c>
      <c r="K872">
        <f t="shared" si="119"/>
        <v>1</v>
      </c>
      <c r="L872">
        <f t="shared" si="120"/>
        <v>5.0000000000000002E-5</v>
      </c>
      <c r="M872" t="b">
        <f t="shared" si="121"/>
        <v>1</v>
      </c>
      <c r="N872" t="b">
        <f t="shared" si="122"/>
        <v>1</v>
      </c>
      <c r="O872" t="s">
        <v>835</v>
      </c>
      <c r="P872">
        <f t="shared" si="123"/>
        <v>0.25</v>
      </c>
      <c r="Q872">
        <f t="shared" si="124"/>
        <v>0</v>
      </c>
      <c r="R872">
        <f t="shared" si="125"/>
        <v>0.15</v>
      </c>
    </row>
    <row r="873" spans="1:18" hidden="1">
      <c r="A873" t="s">
        <v>906</v>
      </c>
      <c r="B873" t="s">
        <v>25</v>
      </c>
      <c r="C873" t="str">
        <f t="shared" si="117"/>
        <v>Sales &amp; Marketing</v>
      </c>
      <c r="D873" t="s">
        <v>27</v>
      </c>
      <c r="E873" t="str">
        <f t="shared" si="118"/>
        <v>Technova</v>
      </c>
      <c r="F873">
        <v>2</v>
      </c>
      <c r="G873">
        <v>20000</v>
      </c>
      <c r="H873" s="1">
        <v>41103</v>
      </c>
      <c r="I873">
        <v>1</v>
      </c>
      <c r="J873" t="s">
        <v>21</v>
      </c>
      <c r="K873">
        <f t="shared" si="119"/>
        <v>1</v>
      </c>
      <c r="L873">
        <f t="shared" si="120"/>
        <v>5.0000000000000002E-5</v>
      </c>
      <c r="M873" t="b">
        <f t="shared" si="121"/>
        <v>0</v>
      </c>
      <c r="N873" t="b">
        <f t="shared" si="122"/>
        <v>0</v>
      </c>
      <c r="O873" t="s">
        <v>835</v>
      </c>
      <c r="P873">
        <f t="shared" si="123"/>
        <v>0.25</v>
      </c>
      <c r="Q873">
        <f t="shared" si="124"/>
        <v>0</v>
      </c>
      <c r="R873">
        <f t="shared" si="125"/>
        <v>0.15</v>
      </c>
    </row>
    <row r="874" spans="1:18" hidden="1">
      <c r="A874" t="s">
        <v>907</v>
      </c>
      <c r="B874" t="s">
        <v>67</v>
      </c>
      <c r="C874" t="str">
        <f t="shared" si="117"/>
        <v>Quality Assurance</v>
      </c>
      <c r="D874" t="s">
        <v>20</v>
      </c>
      <c r="E874" t="str">
        <f t="shared" si="118"/>
        <v>Dataverse</v>
      </c>
      <c r="F874">
        <v>11</v>
      </c>
      <c r="G874">
        <v>40000</v>
      </c>
      <c r="H874" s="1">
        <v>43310</v>
      </c>
      <c r="I874">
        <v>1</v>
      </c>
      <c r="J874" t="s">
        <v>57</v>
      </c>
      <c r="K874">
        <f t="shared" si="119"/>
        <v>2</v>
      </c>
      <c r="L874">
        <f t="shared" si="120"/>
        <v>5.0000000000000002E-5</v>
      </c>
      <c r="M874" t="b">
        <f t="shared" si="121"/>
        <v>0</v>
      </c>
      <c r="N874" t="b">
        <f t="shared" si="122"/>
        <v>1</v>
      </c>
      <c r="O874" t="s">
        <v>835</v>
      </c>
      <c r="P874">
        <f t="shared" si="123"/>
        <v>0.25</v>
      </c>
      <c r="Q874">
        <f t="shared" si="124"/>
        <v>0</v>
      </c>
      <c r="R874">
        <f t="shared" si="125"/>
        <v>0.15</v>
      </c>
    </row>
    <row r="875" spans="1:18" hidden="1">
      <c r="A875" t="s">
        <v>908</v>
      </c>
      <c r="B875" t="s">
        <v>25</v>
      </c>
      <c r="C875" t="str">
        <f t="shared" si="117"/>
        <v>Sales &amp; Marketing</v>
      </c>
      <c r="D875" t="s">
        <v>20</v>
      </c>
      <c r="E875" t="str">
        <f t="shared" si="118"/>
        <v>Dataverse</v>
      </c>
      <c r="F875">
        <v>10</v>
      </c>
      <c r="G875">
        <v>20000</v>
      </c>
      <c r="H875" s="1">
        <v>42952</v>
      </c>
      <c r="I875">
        <v>1</v>
      </c>
      <c r="J875" t="s">
        <v>21</v>
      </c>
      <c r="K875">
        <f t="shared" si="119"/>
        <v>1</v>
      </c>
      <c r="L875">
        <f t="shared" si="120"/>
        <v>5.0000000000000002E-5</v>
      </c>
      <c r="M875" t="b">
        <f t="shared" si="121"/>
        <v>0</v>
      </c>
      <c r="N875" t="b">
        <f t="shared" si="122"/>
        <v>1</v>
      </c>
      <c r="O875" t="s">
        <v>835</v>
      </c>
      <c r="P875">
        <f t="shared" si="123"/>
        <v>0.25</v>
      </c>
      <c r="Q875">
        <f t="shared" si="124"/>
        <v>0</v>
      </c>
      <c r="R875">
        <f t="shared" si="125"/>
        <v>0.15</v>
      </c>
    </row>
    <row r="876" spans="1:18" hidden="1">
      <c r="A876" t="s">
        <v>909</v>
      </c>
      <c r="B876" t="s">
        <v>67</v>
      </c>
      <c r="C876" t="str">
        <f t="shared" si="117"/>
        <v>Quality Assurance</v>
      </c>
      <c r="D876" t="s">
        <v>27</v>
      </c>
      <c r="E876" t="str">
        <f t="shared" si="118"/>
        <v>Technova</v>
      </c>
      <c r="F876">
        <v>9</v>
      </c>
      <c r="G876">
        <v>40000</v>
      </c>
      <c r="H876" s="1">
        <v>39643</v>
      </c>
      <c r="I876">
        <v>1</v>
      </c>
      <c r="J876" t="s">
        <v>57</v>
      </c>
      <c r="K876">
        <f t="shared" si="119"/>
        <v>2</v>
      </c>
      <c r="L876">
        <f t="shared" si="120"/>
        <v>5.0000000000000002E-5</v>
      </c>
      <c r="M876" t="b">
        <f t="shared" si="121"/>
        <v>0</v>
      </c>
      <c r="N876" t="b">
        <f t="shared" si="122"/>
        <v>1</v>
      </c>
      <c r="O876" t="s">
        <v>835</v>
      </c>
      <c r="P876">
        <f t="shared" si="123"/>
        <v>0.25</v>
      </c>
      <c r="Q876">
        <f t="shared" si="124"/>
        <v>0</v>
      </c>
      <c r="R876">
        <f t="shared" si="125"/>
        <v>0.15</v>
      </c>
    </row>
    <row r="877" spans="1:18" hidden="1">
      <c r="A877" t="s">
        <v>910</v>
      </c>
      <c r="B877" t="s">
        <v>204</v>
      </c>
      <c r="C877" t="str">
        <f t="shared" si="117"/>
        <v>Administrative Services</v>
      </c>
      <c r="D877" t="s">
        <v>20</v>
      </c>
      <c r="E877" t="str">
        <f t="shared" si="118"/>
        <v>Dataverse</v>
      </c>
      <c r="F877">
        <v>12</v>
      </c>
      <c r="G877">
        <v>78000</v>
      </c>
      <c r="H877" s="1">
        <v>41512</v>
      </c>
      <c r="I877">
        <v>2</v>
      </c>
      <c r="J877" t="s">
        <v>174</v>
      </c>
      <c r="K877">
        <f t="shared" si="119"/>
        <v>3</v>
      </c>
      <c r="L877">
        <f t="shared" si="120"/>
        <v>3.8461538461538463E-5</v>
      </c>
      <c r="M877" t="b">
        <f t="shared" si="121"/>
        <v>0</v>
      </c>
      <c r="N877" t="b">
        <f t="shared" si="122"/>
        <v>1</v>
      </c>
      <c r="O877" t="s">
        <v>835</v>
      </c>
      <c r="P877">
        <f t="shared" si="123"/>
        <v>7.6923076923076913E-2</v>
      </c>
      <c r="Q877">
        <f t="shared" si="124"/>
        <v>0.25</v>
      </c>
      <c r="R877">
        <f t="shared" si="125"/>
        <v>0.14615384615384616</v>
      </c>
    </row>
    <row r="878" spans="1:18" hidden="1">
      <c r="A878" t="s">
        <v>911</v>
      </c>
      <c r="B878" t="s">
        <v>19</v>
      </c>
      <c r="C878" t="str">
        <f t="shared" si="117"/>
        <v>Research &amp; Department</v>
      </c>
      <c r="D878" t="s">
        <v>27</v>
      </c>
      <c r="E878" t="str">
        <f t="shared" si="118"/>
        <v>Technova</v>
      </c>
      <c r="F878">
        <v>9</v>
      </c>
      <c r="G878">
        <v>26000</v>
      </c>
      <c r="H878" s="1">
        <v>39735</v>
      </c>
      <c r="I878">
        <v>2</v>
      </c>
      <c r="J878" t="s">
        <v>21</v>
      </c>
      <c r="K878">
        <f t="shared" si="119"/>
        <v>1</v>
      </c>
      <c r="L878">
        <f t="shared" si="120"/>
        <v>3.8461538461538463E-5</v>
      </c>
      <c r="M878" t="b">
        <f t="shared" si="121"/>
        <v>0</v>
      </c>
      <c r="N878" t="b">
        <f t="shared" si="122"/>
        <v>1</v>
      </c>
      <c r="O878" t="s">
        <v>835</v>
      </c>
      <c r="P878">
        <f t="shared" si="123"/>
        <v>7.6923076923076913E-2</v>
      </c>
      <c r="Q878">
        <f t="shared" si="124"/>
        <v>0.25</v>
      </c>
      <c r="R878">
        <f t="shared" si="125"/>
        <v>0.14615384615384616</v>
      </c>
    </row>
    <row r="879" spans="1:18" hidden="1">
      <c r="A879" t="s">
        <v>912</v>
      </c>
      <c r="B879" t="s">
        <v>19</v>
      </c>
      <c r="C879" t="str">
        <f t="shared" si="117"/>
        <v>Research &amp; Department</v>
      </c>
      <c r="D879" t="s">
        <v>27</v>
      </c>
      <c r="E879" t="str">
        <f t="shared" si="118"/>
        <v>Technova</v>
      </c>
      <c r="F879">
        <v>5</v>
      </c>
      <c r="G879">
        <v>26000</v>
      </c>
      <c r="H879" s="1">
        <v>42741</v>
      </c>
      <c r="I879">
        <v>2</v>
      </c>
      <c r="J879" t="s">
        <v>21</v>
      </c>
      <c r="K879">
        <f t="shared" si="119"/>
        <v>1</v>
      </c>
      <c r="L879">
        <f t="shared" si="120"/>
        <v>3.8461538461538463E-5</v>
      </c>
      <c r="M879" t="b">
        <f t="shared" si="121"/>
        <v>0</v>
      </c>
      <c r="N879" t="b">
        <f t="shared" si="122"/>
        <v>0</v>
      </c>
      <c r="O879" t="s">
        <v>835</v>
      </c>
      <c r="P879">
        <f t="shared" si="123"/>
        <v>7.6923076923076913E-2</v>
      </c>
      <c r="Q879">
        <f t="shared" si="124"/>
        <v>0.25</v>
      </c>
      <c r="R879">
        <f t="shared" si="125"/>
        <v>0.14615384615384616</v>
      </c>
    </row>
    <row r="880" spans="1:18" hidden="1">
      <c r="A880" t="s">
        <v>913</v>
      </c>
      <c r="B880" t="s">
        <v>19</v>
      </c>
      <c r="C880" t="str">
        <f t="shared" si="117"/>
        <v>Research &amp; Department</v>
      </c>
      <c r="D880" t="s">
        <v>27</v>
      </c>
      <c r="E880" t="str">
        <f t="shared" si="118"/>
        <v>Technova</v>
      </c>
      <c r="F880">
        <v>24</v>
      </c>
      <c r="G880">
        <v>26000</v>
      </c>
      <c r="H880" s="1">
        <v>43243</v>
      </c>
      <c r="I880">
        <v>2</v>
      </c>
      <c r="J880" t="s">
        <v>21</v>
      </c>
      <c r="K880">
        <f t="shared" si="119"/>
        <v>1</v>
      </c>
      <c r="L880">
        <f t="shared" si="120"/>
        <v>3.8461538461538463E-5</v>
      </c>
      <c r="M880" t="b">
        <f t="shared" si="121"/>
        <v>1</v>
      </c>
      <c r="N880" t="b">
        <f t="shared" si="122"/>
        <v>1</v>
      </c>
      <c r="O880" t="s">
        <v>835</v>
      </c>
      <c r="P880">
        <f t="shared" si="123"/>
        <v>7.6923076923076913E-2</v>
      </c>
      <c r="Q880">
        <f t="shared" si="124"/>
        <v>0.25</v>
      </c>
      <c r="R880">
        <f t="shared" si="125"/>
        <v>0.14615384615384616</v>
      </c>
    </row>
    <row r="881" spans="1:18" hidden="1">
      <c r="A881" t="s">
        <v>914</v>
      </c>
      <c r="B881" t="s">
        <v>25</v>
      </c>
      <c r="C881" t="str">
        <f t="shared" si="117"/>
        <v>Sales &amp; Marketing</v>
      </c>
      <c r="D881" t="s">
        <v>27</v>
      </c>
      <c r="E881" t="str">
        <f t="shared" si="118"/>
        <v>Technova</v>
      </c>
      <c r="F881">
        <v>23</v>
      </c>
      <c r="G881">
        <v>26000</v>
      </c>
      <c r="H881" s="1">
        <v>39600</v>
      </c>
      <c r="I881">
        <v>2</v>
      </c>
      <c r="J881" t="s">
        <v>21</v>
      </c>
      <c r="K881">
        <f t="shared" si="119"/>
        <v>1</v>
      </c>
      <c r="L881">
        <f t="shared" si="120"/>
        <v>3.8461538461538463E-5</v>
      </c>
      <c r="M881" t="b">
        <f t="shared" si="121"/>
        <v>1</v>
      </c>
      <c r="N881" t="b">
        <f t="shared" si="122"/>
        <v>1</v>
      </c>
      <c r="O881" t="s">
        <v>835</v>
      </c>
      <c r="P881">
        <f t="shared" si="123"/>
        <v>7.6923076923076913E-2</v>
      </c>
      <c r="Q881">
        <f t="shared" si="124"/>
        <v>0.25</v>
      </c>
      <c r="R881">
        <f t="shared" si="125"/>
        <v>0.14615384615384616</v>
      </c>
    </row>
    <row r="882" spans="1:18" hidden="1">
      <c r="A882" t="s">
        <v>915</v>
      </c>
      <c r="B882" t="s">
        <v>204</v>
      </c>
      <c r="C882" t="str">
        <f t="shared" si="117"/>
        <v>Administrative Services</v>
      </c>
      <c r="D882" t="s">
        <v>27</v>
      </c>
      <c r="E882" t="str">
        <f t="shared" si="118"/>
        <v>Technova</v>
      </c>
      <c r="F882">
        <v>22</v>
      </c>
      <c r="G882">
        <v>61000</v>
      </c>
      <c r="H882" s="1">
        <v>40152</v>
      </c>
      <c r="I882">
        <v>1</v>
      </c>
      <c r="J882" t="s">
        <v>174</v>
      </c>
      <c r="K882">
        <f t="shared" si="119"/>
        <v>3</v>
      </c>
      <c r="L882">
        <f t="shared" si="120"/>
        <v>4.9180327868852456E-5</v>
      </c>
      <c r="M882" t="b">
        <f t="shared" si="121"/>
        <v>1</v>
      </c>
      <c r="N882" t="b">
        <f t="shared" si="122"/>
        <v>1</v>
      </c>
      <c r="O882" t="s">
        <v>835</v>
      </c>
      <c r="P882">
        <f t="shared" si="123"/>
        <v>0.23770491803278682</v>
      </c>
      <c r="Q882">
        <f t="shared" si="124"/>
        <v>0</v>
      </c>
      <c r="R882">
        <f t="shared" si="125"/>
        <v>0.14262295081967208</v>
      </c>
    </row>
    <row r="883" spans="1:18" hidden="1">
      <c r="A883" t="s">
        <v>916</v>
      </c>
      <c r="B883" t="s">
        <v>70</v>
      </c>
      <c r="C883" t="str">
        <f t="shared" si="117"/>
        <v>Customer Experience</v>
      </c>
      <c r="D883" t="s">
        <v>20</v>
      </c>
      <c r="E883" t="str">
        <f t="shared" si="118"/>
        <v>Dataverse</v>
      </c>
      <c r="F883">
        <v>24</v>
      </c>
      <c r="G883">
        <v>61000</v>
      </c>
      <c r="H883" s="1">
        <v>39448</v>
      </c>
      <c r="I883">
        <v>1</v>
      </c>
      <c r="J883" t="s">
        <v>174</v>
      </c>
      <c r="K883">
        <f t="shared" si="119"/>
        <v>3</v>
      </c>
      <c r="L883">
        <f t="shared" si="120"/>
        <v>4.9180327868852456E-5</v>
      </c>
      <c r="M883" t="b">
        <f t="shared" si="121"/>
        <v>1</v>
      </c>
      <c r="N883" t="b">
        <f t="shared" si="122"/>
        <v>1</v>
      </c>
      <c r="O883" t="s">
        <v>835</v>
      </c>
      <c r="P883">
        <f t="shared" si="123"/>
        <v>0.23770491803278682</v>
      </c>
      <c r="Q883">
        <f t="shared" si="124"/>
        <v>0</v>
      </c>
      <c r="R883">
        <f t="shared" si="125"/>
        <v>0.14262295081967208</v>
      </c>
    </row>
    <row r="884" spans="1:18" hidden="1">
      <c r="A884" t="s">
        <v>917</v>
      </c>
      <c r="B884" t="s">
        <v>102</v>
      </c>
      <c r="C884" t="str">
        <f t="shared" si="117"/>
        <v>Finance</v>
      </c>
      <c r="D884" t="s">
        <v>27</v>
      </c>
      <c r="E884" t="str">
        <f t="shared" si="118"/>
        <v>Technova</v>
      </c>
      <c r="F884">
        <v>7</v>
      </c>
      <c r="G884">
        <v>41000</v>
      </c>
      <c r="H884" s="1">
        <v>41013</v>
      </c>
      <c r="I884">
        <v>1</v>
      </c>
      <c r="J884" t="s">
        <v>57</v>
      </c>
      <c r="K884">
        <f t="shared" si="119"/>
        <v>2</v>
      </c>
      <c r="L884">
        <f t="shared" si="120"/>
        <v>4.8780487804878051E-5</v>
      </c>
      <c r="M884" t="b">
        <f t="shared" si="121"/>
        <v>0</v>
      </c>
      <c r="N884" t="b">
        <f t="shared" si="122"/>
        <v>1</v>
      </c>
      <c r="O884" t="s">
        <v>835</v>
      </c>
      <c r="P884">
        <f t="shared" si="123"/>
        <v>0.23170731707317074</v>
      </c>
      <c r="Q884">
        <f t="shared" si="124"/>
        <v>0</v>
      </c>
      <c r="R884">
        <f t="shared" si="125"/>
        <v>0.13902439024390245</v>
      </c>
    </row>
    <row r="885" spans="1:18" hidden="1">
      <c r="A885" t="s">
        <v>918</v>
      </c>
      <c r="B885" t="s">
        <v>74</v>
      </c>
      <c r="C885" t="str">
        <f t="shared" si="117"/>
        <v>Human Resources</v>
      </c>
      <c r="D885" t="s">
        <v>20</v>
      </c>
      <c r="E885" t="str">
        <f t="shared" si="118"/>
        <v>Dataverse</v>
      </c>
      <c r="F885">
        <v>11</v>
      </c>
      <c r="G885">
        <v>41000</v>
      </c>
      <c r="H885" s="1">
        <v>38673</v>
      </c>
      <c r="I885">
        <v>1</v>
      </c>
      <c r="J885" t="s">
        <v>57</v>
      </c>
      <c r="K885">
        <f t="shared" si="119"/>
        <v>2</v>
      </c>
      <c r="L885">
        <f t="shared" si="120"/>
        <v>4.8780487804878051E-5</v>
      </c>
      <c r="M885" t="b">
        <f t="shared" si="121"/>
        <v>0</v>
      </c>
      <c r="N885" t="b">
        <f t="shared" si="122"/>
        <v>1</v>
      </c>
      <c r="O885" t="s">
        <v>835</v>
      </c>
      <c r="P885">
        <f t="shared" si="123"/>
        <v>0.23170731707317074</v>
      </c>
      <c r="Q885">
        <f t="shared" si="124"/>
        <v>0</v>
      </c>
      <c r="R885">
        <f t="shared" si="125"/>
        <v>0.13902439024390245</v>
      </c>
    </row>
    <row r="886" spans="1:18" hidden="1">
      <c r="A886" t="s">
        <v>919</v>
      </c>
      <c r="B886" t="s">
        <v>224</v>
      </c>
      <c r="C886" t="str">
        <f t="shared" si="117"/>
        <v>Business Strategy</v>
      </c>
      <c r="D886" t="s">
        <v>27</v>
      </c>
      <c r="E886" t="str">
        <f t="shared" si="118"/>
        <v>Technova</v>
      </c>
      <c r="F886">
        <v>23</v>
      </c>
      <c r="G886">
        <v>80000</v>
      </c>
      <c r="H886" s="1">
        <v>41689</v>
      </c>
      <c r="I886">
        <v>2</v>
      </c>
      <c r="J886" t="s">
        <v>174</v>
      </c>
      <c r="K886">
        <f t="shared" si="119"/>
        <v>3</v>
      </c>
      <c r="L886">
        <f t="shared" si="120"/>
        <v>3.7499999999999997E-5</v>
      </c>
      <c r="M886" t="b">
        <f t="shared" si="121"/>
        <v>1</v>
      </c>
      <c r="N886" t="b">
        <f t="shared" si="122"/>
        <v>1</v>
      </c>
      <c r="O886" t="s">
        <v>835</v>
      </c>
      <c r="P886">
        <f t="shared" si="123"/>
        <v>6.2499999999999924E-2</v>
      </c>
      <c r="Q886">
        <f t="shared" si="124"/>
        <v>0.25</v>
      </c>
      <c r="R886">
        <f t="shared" si="125"/>
        <v>0.13749999999999996</v>
      </c>
    </row>
    <row r="887" spans="1:18" hidden="1">
      <c r="A887" t="s">
        <v>920</v>
      </c>
      <c r="B887" t="s">
        <v>70</v>
      </c>
      <c r="C887" t="str">
        <f t="shared" si="117"/>
        <v>Customer Experience</v>
      </c>
      <c r="D887" t="s">
        <v>20</v>
      </c>
      <c r="E887" t="str">
        <f t="shared" si="118"/>
        <v>Dataverse</v>
      </c>
      <c r="F887">
        <v>22</v>
      </c>
      <c r="G887">
        <v>80000</v>
      </c>
      <c r="H887" s="1">
        <v>39914</v>
      </c>
      <c r="I887">
        <v>2</v>
      </c>
      <c r="J887" t="s">
        <v>174</v>
      </c>
      <c r="K887">
        <f t="shared" si="119"/>
        <v>3</v>
      </c>
      <c r="L887">
        <f t="shared" si="120"/>
        <v>3.7499999999999997E-5</v>
      </c>
      <c r="M887" t="b">
        <f t="shared" si="121"/>
        <v>1</v>
      </c>
      <c r="N887" t="b">
        <f t="shared" si="122"/>
        <v>1</v>
      </c>
      <c r="O887" t="s">
        <v>835</v>
      </c>
      <c r="P887">
        <f t="shared" si="123"/>
        <v>6.2499999999999924E-2</v>
      </c>
      <c r="Q887">
        <f t="shared" si="124"/>
        <v>0.25</v>
      </c>
      <c r="R887">
        <f t="shared" si="125"/>
        <v>0.13749999999999996</v>
      </c>
    </row>
    <row r="888" spans="1:18" hidden="1">
      <c r="A888" t="s">
        <v>921</v>
      </c>
      <c r="B888" t="s">
        <v>70</v>
      </c>
      <c r="C888" t="str">
        <f t="shared" si="117"/>
        <v>Customer Experience</v>
      </c>
      <c r="D888" t="s">
        <v>27</v>
      </c>
      <c r="E888" t="str">
        <f t="shared" si="118"/>
        <v>Technova</v>
      </c>
      <c r="F888">
        <v>23</v>
      </c>
      <c r="G888">
        <v>62000</v>
      </c>
      <c r="H888" s="1">
        <v>42893</v>
      </c>
      <c r="I888">
        <v>1</v>
      </c>
      <c r="J888" t="s">
        <v>174</v>
      </c>
      <c r="K888">
        <f t="shared" si="119"/>
        <v>3</v>
      </c>
      <c r="L888">
        <f t="shared" si="120"/>
        <v>4.8387096774193547E-5</v>
      </c>
      <c r="M888" t="b">
        <f t="shared" si="121"/>
        <v>1</v>
      </c>
      <c r="N888" t="b">
        <f t="shared" si="122"/>
        <v>1</v>
      </c>
      <c r="O888" t="s">
        <v>835</v>
      </c>
      <c r="P888">
        <f t="shared" si="123"/>
        <v>0.22580645161290316</v>
      </c>
      <c r="Q888">
        <f t="shared" si="124"/>
        <v>0</v>
      </c>
      <c r="R888">
        <f t="shared" si="125"/>
        <v>0.13548387096774189</v>
      </c>
    </row>
    <row r="889" spans="1:18" hidden="1">
      <c r="A889" t="s">
        <v>922</v>
      </c>
      <c r="B889" t="s">
        <v>70</v>
      </c>
      <c r="C889" t="str">
        <f t="shared" si="117"/>
        <v>Customer Experience</v>
      </c>
      <c r="D889" t="s">
        <v>27</v>
      </c>
      <c r="E889" t="str">
        <f t="shared" si="118"/>
        <v>Technova</v>
      </c>
      <c r="F889">
        <v>11</v>
      </c>
      <c r="G889">
        <v>82000</v>
      </c>
      <c r="H889" s="1">
        <v>41128</v>
      </c>
      <c r="I889">
        <v>2</v>
      </c>
      <c r="J889" t="s">
        <v>174</v>
      </c>
      <c r="K889">
        <f t="shared" si="119"/>
        <v>3</v>
      </c>
      <c r="L889">
        <f t="shared" si="120"/>
        <v>3.6585365853658535E-5</v>
      </c>
      <c r="M889" t="b">
        <f t="shared" si="121"/>
        <v>0</v>
      </c>
      <c r="N889" t="b">
        <f t="shared" si="122"/>
        <v>1</v>
      </c>
      <c r="O889" t="s">
        <v>835</v>
      </c>
      <c r="P889">
        <f t="shared" si="123"/>
        <v>4.8780487804878002E-2</v>
      </c>
      <c r="Q889">
        <f t="shared" si="124"/>
        <v>0.25</v>
      </c>
      <c r="R889">
        <f t="shared" si="125"/>
        <v>0.12926829268292681</v>
      </c>
    </row>
    <row r="890" spans="1:18" hidden="1">
      <c r="A890" t="s">
        <v>923</v>
      </c>
      <c r="B890" t="s">
        <v>56</v>
      </c>
      <c r="C890" t="str">
        <f t="shared" si="117"/>
        <v>IT &amp; Systems</v>
      </c>
      <c r="D890" t="s">
        <v>27</v>
      </c>
      <c r="E890" t="str">
        <f t="shared" si="118"/>
        <v>Technova</v>
      </c>
      <c r="F890">
        <v>6</v>
      </c>
      <c r="G890">
        <v>42000</v>
      </c>
      <c r="H890" s="1">
        <v>44597</v>
      </c>
      <c r="I890">
        <v>1</v>
      </c>
      <c r="J890" t="s">
        <v>57</v>
      </c>
      <c r="K890">
        <f t="shared" si="119"/>
        <v>2</v>
      </c>
      <c r="L890">
        <f t="shared" si="120"/>
        <v>4.761904761904762E-5</v>
      </c>
      <c r="M890" t="b">
        <f t="shared" si="121"/>
        <v>0</v>
      </c>
      <c r="N890" t="b">
        <f t="shared" si="122"/>
        <v>1</v>
      </c>
      <c r="O890" t="s">
        <v>835</v>
      </c>
      <c r="P890">
        <f t="shared" si="123"/>
        <v>0.21428571428571427</v>
      </c>
      <c r="Q890">
        <f t="shared" si="124"/>
        <v>0</v>
      </c>
      <c r="R890">
        <f t="shared" si="125"/>
        <v>0.12857142857142856</v>
      </c>
    </row>
    <row r="891" spans="1:18" hidden="1">
      <c r="A891" t="s">
        <v>924</v>
      </c>
      <c r="B891" t="s">
        <v>19</v>
      </c>
      <c r="C891" t="str">
        <f t="shared" si="117"/>
        <v>Research &amp; Department</v>
      </c>
      <c r="D891" t="s">
        <v>27</v>
      </c>
      <c r="E891" t="str">
        <f t="shared" si="118"/>
        <v>Technova</v>
      </c>
      <c r="F891">
        <v>25</v>
      </c>
      <c r="G891">
        <v>21000</v>
      </c>
      <c r="H891" s="1">
        <v>39913</v>
      </c>
      <c r="I891">
        <v>1</v>
      </c>
      <c r="J891" t="s">
        <v>21</v>
      </c>
      <c r="K891">
        <f t="shared" si="119"/>
        <v>1</v>
      </c>
      <c r="L891">
        <f t="shared" si="120"/>
        <v>4.761904761904762E-5</v>
      </c>
      <c r="M891" t="b">
        <f t="shared" si="121"/>
        <v>1</v>
      </c>
      <c r="N891" t="b">
        <f t="shared" si="122"/>
        <v>1</v>
      </c>
      <c r="O891" t="s">
        <v>835</v>
      </c>
      <c r="P891">
        <f t="shared" si="123"/>
        <v>0.21428571428571427</v>
      </c>
      <c r="Q891">
        <f t="shared" si="124"/>
        <v>0</v>
      </c>
      <c r="R891">
        <f t="shared" si="125"/>
        <v>0.12857142857142856</v>
      </c>
    </row>
    <row r="892" spans="1:18" hidden="1">
      <c r="A892" t="s">
        <v>925</v>
      </c>
      <c r="B892" t="s">
        <v>56</v>
      </c>
      <c r="C892" t="str">
        <f t="shared" si="117"/>
        <v>IT &amp; Systems</v>
      </c>
      <c r="D892" t="s">
        <v>27</v>
      </c>
      <c r="E892" t="str">
        <f t="shared" si="118"/>
        <v>Technova</v>
      </c>
      <c r="F892">
        <v>15</v>
      </c>
      <c r="G892">
        <v>42000</v>
      </c>
      <c r="H892" s="1">
        <v>42881</v>
      </c>
      <c r="I892">
        <v>1</v>
      </c>
      <c r="J892" t="s">
        <v>57</v>
      </c>
      <c r="K892">
        <f t="shared" si="119"/>
        <v>2</v>
      </c>
      <c r="L892">
        <f t="shared" si="120"/>
        <v>4.761904761904762E-5</v>
      </c>
      <c r="M892" t="b">
        <f t="shared" si="121"/>
        <v>0</v>
      </c>
      <c r="N892" t="b">
        <f t="shared" si="122"/>
        <v>1</v>
      </c>
      <c r="O892" t="s">
        <v>835</v>
      </c>
      <c r="P892">
        <f t="shared" si="123"/>
        <v>0.21428571428571427</v>
      </c>
      <c r="Q892">
        <f t="shared" si="124"/>
        <v>0</v>
      </c>
      <c r="R892">
        <f t="shared" si="125"/>
        <v>0.12857142857142856</v>
      </c>
    </row>
    <row r="893" spans="1:18" hidden="1">
      <c r="A893" t="s">
        <v>926</v>
      </c>
      <c r="B893" t="s">
        <v>60</v>
      </c>
      <c r="C893" t="str">
        <f t="shared" si="117"/>
        <v>Manufacturing and operations</v>
      </c>
      <c r="D893" t="s">
        <v>20</v>
      </c>
      <c r="E893" t="str">
        <f t="shared" si="118"/>
        <v>Dataverse</v>
      </c>
      <c r="F893">
        <v>5</v>
      </c>
      <c r="G893">
        <v>42000</v>
      </c>
      <c r="H893" s="1">
        <v>42903</v>
      </c>
      <c r="I893">
        <v>1</v>
      </c>
      <c r="J893" t="s">
        <v>57</v>
      </c>
      <c r="K893">
        <f t="shared" si="119"/>
        <v>2</v>
      </c>
      <c r="L893">
        <f t="shared" si="120"/>
        <v>4.761904761904762E-5</v>
      </c>
      <c r="M893" t="b">
        <f t="shared" si="121"/>
        <v>0</v>
      </c>
      <c r="N893" t="b">
        <f t="shared" si="122"/>
        <v>0</v>
      </c>
      <c r="O893" t="s">
        <v>835</v>
      </c>
      <c r="P893">
        <f t="shared" si="123"/>
        <v>0.21428571428571427</v>
      </c>
      <c r="Q893">
        <f t="shared" si="124"/>
        <v>0</v>
      </c>
      <c r="R893">
        <f t="shared" si="125"/>
        <v>0.12857142857142856</v>
      </c>
    </row>
    <row r="894" spans="1:18" hidden="1">
      <c r="A894" t="s">
        <v>927</v>
      </c>
      <c r="B894" t="s">
        <v>25</v>
      </c>
      <c r="C894" t="str">
        <f t="shared" si="117"/>
        <v>Sales &amp; Marketing</v>
      </c>
      <c r="D894" t="s">
        <v>20</v>
      </c>
      <c r="E894" t="str">
        <f t="shared" si="118"/>
        <v>Dataverse</v>
      </c>
      <c r="F894">
        <v>8</v>
      </c>
      <c r="G894">
        <v>21000</v>
      </c>
      <c r="H894" s="1">
        <v>38917</v>
      </c>
      <c r="I894">
        <v>1</v>
      </c>
      <c r="J894" t="s">
        <v>21</v>
      </c>
      <c r="K894">
        <f t="shared" si="119"/>
        <v>1</v>
      </c>
      <c r="L894">
        <f t="shared" si="120"/>
        <v>4.761904761904762E-5</v>
      </c>
      <c r="M894" t="b">
        <f t="shared" si="121"/>
        <v>0</v>
      </c>
      <c r="N894" t="b">
        <f t="shared" si="122"/>
        <v>1</v>
      </c>
      <c r="O894" t="s">
        <v>835</v>
      </c>
      <c r="P894">
        <f t="shared" si="123"/>
        <v>0.21428571428571427</v>
      </c>
      <c r="Q894">
        <f t="shared" si="124"/>
        <v>0</v>
      </c>
      <c r="R894">
        <f t="shared" si="125"/>
        <v>0.12857142857142856</v>
      </c>
    </row>
    <row r="895" spans="1:18" hidden="1">
      <c r="A895" t="s">
        <v>928</v>
      </c>
      <c r="B895" t="s">
        <v>25</v>
      </c>
      <c r="C895" t="str">
        <f t="shared" si="117"/>
        <v>Sales &amp; Marketing</v>
      </c>
      <c r="D895" t="s">
        <v>20</v>
      </c>
      <c r="E895" t="str">
        <f t="shared" si="118"/>
        <v>Dataverse</v>
      </c>
      <c r="F895">
        <v>18</v>
      </c>
      <c r="G895">
        <v>21000</v>
      </c>
      <c r="H895" s="1">
        <v>41175</v>
      </c>
      <c r="I895">
        <v>1</v>
      </c>
      <c r="J895" t="s">
        <v>21</v>
      </c>
      <c r="K895">
        <f t="shared" si="119"/>
        <v>1</v>
      </c>
      <c r="L895">
        <f t="shared" si="120"/>
        <v>4.761904761904762E-5</v>
      </c>
      <c r="M895" t="b">
        <f t="shared" si="121"/>
        <v>1</v>
      </c>
      <c r="N895" t="b">
        <f t="shared" si="122"/>
        <v>1</v>
      </c>
      <c r="O895" t="s">
        <v>835</v>
      </c>
      <c r="P895">
        <f t="shared" si="123"/>
        <v>0.21428571428571427</v>
      </c>
      <c r="Q895">
        <f t="shared" si="124"/>
        <v>0</v>
      </c>
      <c r="R895">
        <f t="shared" si="125"/>
        <v>0.12857142857142856</v>
      </c>
    </row>
    <row r="896" spans="1:18" hidden="1">
      <c r="A896" t="s">
        <v>929</v>
      </c>
      <c r="B896" t="s">
        <v>25</v>
      </c>
      <c r="C896" t="str">
        <f t="shared" si="117"/>
        <v>Sales &amp; Marketing</v>
      </c>
      <c r="D896" t="s">
        <v>27</v>
      </c>
      <c r="E896" t="str">
        <f t="shared" si="118"/>
        <v>Technova</v>
      </c>
      <c r="F896">
        <v>22</v>
      </c>
      <c r="G896">
        <v>21000</v>
      </c>
      <c r="H896" s="1">
        <v>45229</v>
      </c>
      <c r="I896">
        <v>1</v>
      </c>
      <c r="J896" t="s">
        <v>21</v>
      </c>
      <c r="K896">
        <f t="shared" si="119"/>
        <v>1</v>
      </c>
      <c r="L896">
        <f t="shared" si="120"/>
        <v>4.761904761904762E-5</v>
      </c>
      <c r="M896" t="b">
        <f t="shared" si="121"/>
        <v>1</v>
      </c>
      <c r="N896" t="b">
        <f t="shared" si="122"/>
        <v>1</v>
      </c>
      <c r="O896" t="s">
        <v>835</v>
      </c>
      <c r="P896">
        <f t="shared" si="123"/>
        <v>0.21428571428571427</v>
      </c>
      <c r="Q896">
        <f t="shared" si="124"/>
        <v>0</v>
      </c>
      <c r="R896">
        <f t="shared" si="125"/>
        <v>0.12857142857142856</v>
      </c>
    </row>
    <row r="897" spans="1:18" hidden="1">
      <c r="A897" t="s">
        <v>930</v>
      </c>
      <c r="B897" t="s">
        <v>60</v>
      </c>
      <c r="C897" t="str">
        <f t="shared" si="117"/>
        <v>Manufacturing and operations</v>
      </c>
      <c r="D897" t="s">
        <v>27</v>
      </c>
      <c r="E897" t="str">
        <f t="shared" si="118"/>
        <v>Technova</v>
      </c>
      <c r="F897">
        <v>5</v>
      </c>
      <c r="G897">
        <v>42000</v>
      </c>
      <c r="H897" s="1">
        <v>41401</v>
      </c>
      <c r="I897">
        <v>1</v>
      </c>
      <c r="J897" t="s">
        <v>57</v>
      </c>
      <c r="K897">
        <f t="shared" si="119"/>
        <v>2</v>
      </c>
      <c r="L897">
        <f t="shared" si="120"/>
        <v>4.761904761904762E-5</v>
      </c>
      <c r="M897" t="b">
        <f t="shared" si="121"/>
        <v>0</v>
      </c>
      <c r="N897" t="b">
        <f t="shared" si="122"/>
        <v>0</v>
      </c>
      <c r="O897" t="s">
        <v>835</v>
      </c>
      <c r="P897">
        <f t="shared" si="123"/>
        <v>0.21428571428571427</v>
      </c>
      <c r="Q897">
        <f t="shared" si="124"/>
        <v>0</v>
      </c>
      <c r="R897">
        <f t="shared" si="125"/>
        <v>0.12857142857142856</v>
      </c>
    </row>
    <row r="898" spans="1:18" hidden="1">
      <c r="A898" t="s">
        <v>931</v>
      </c>
      <c r="B898" t="s">
        <v>67</v>
      </c>
      <c r="C898" t="str">
        <f t="shared" ref="C898:C961" si="126">TRIM(B898)</f>
        <v>Quality Assurance</v>
      </c>
      <c r="D898" t="s">
        <v>27</v>
      </c>
      <c r="E898" t="str">
        <f t="shared" ref="E898:E961" si="127">TRIM(D898)</f>
        <v>Technova</v>
      </c>
      <c r="F898">
        <v>13</v>
      </c>
      <c r="G898">
        <v>42000</v>
      </c>
      <c r="H898" s="1">
        <v>38680</v>
      </c>
      <c r="I898">
        <v>1</v>
      </c>
      <c r="J898" t="s">
        <v>57</v>
      </c>
      <c r="K898">
        <f t="shared" ref="K898:K961" si="128">IF(J898="A", 3, IF(J898="B", 2, 1))</f>
        <v>2</v>
      </c>
      <c r="L898">
        <f t="shared" ref="L898:L961" si="129">K898/G898</f>
        <v>4.761904761904762E-5</v>
      </c>
      <c r="M898" t="b">
        <f t="shared" ref="M898:M961" si="130">IF(F898&gt;15, TRUE, FALSE)</f>
        <v>0</v>
      </c>
      <c r="N898" t="b">
        <f t="shared" ref="N898:N961" si="131">IF(F898&gt;5, TRUE, FALSE)</f>
        <v>1</v>
      </c>
      <c r="O898" t="s">
        <v>835</v>
      </c>
      <c r="P898">
        <f t="shared" ref="P898:P961" si="132">(L898-MIN(L:L))/(MAX(L:L)-MIN(L:L))</f>
        <v>0.21428571428571427</v>
      </c>
      <c r="Q898">
        <f t="shared" ref="Q898:Q961" si="133">(I898-1)/4</f>
        <v>0</v>
      </c>
      <c r="R898">
        <f t="shared" ref="R898:R961" si="134">(0.6*P898)+(0.4*Q898)</f>
        <v>0.12857142857142856</v>
      </c>
    </row>
    <row r="899" spans="1:18" hidden="1">
      <c r="A899" t="s">
        <v>932</v>
      </c>
      <c r="B899" t="s">
        <v>204</v>
      </c>
      <c r="C899" t="str">
        <f t="shared" si="126"/>
        <v>Administrative Services</v>
      </c>
      <c r="D899" t="s">
        <v>20</v>
      </c>
      <c r="E899" t="str">
        <f t="shared" si="127"/>
        <v>Dataverse</v>
      </c>
      <c r="F899">
        <v>13</v>
      </c>
      <c r="G899">
        <v>64000</v>
      </c>
      <c r="H899" s="1">
        <v>44616</v>
      </c>
      <c r="I899">
        <v>1</v>
      </c>
      <c r="J899" t="s">
        <v>174</v>
      </c>
      <c r="K899">
        <f t="shared" si="128"/>
        <v>3</v>
      </c>
      <c r="L899">
        <f t="shared" si="129"/>
        <v>4.6875000000000001E-5</v>
      </c>
      <c r="M899" t="b">
        <f t="shared" si="130"/>
        <v>0</v>
      </c>
      <c r="N899" t="b">
        <f t="shared" si="131"/>
        <v>1</v>
      </c>
      <c r="O899" t="s">
        <v>835</v>
      </c>
      <c r="P899">
        <f t="shared" si="132"/>
        <v>0.20312499999999997</v>
      </c>
      <c r="Q899">
        <f t="shared" si="133"/>
        <v>0</v>
      </c>
      <c r="R899">
        <f t="shared" si="134"/>
        <v>0.12187499999999998</v>
      </c>
    </row>
    <row r="900" spans="1:18" hidden="1">
      <c r="A900" t="s">
        <v>933</v>
      </c>
      <c r="B900" t="s">
        <v>224</v>
      </c>
      <c r="C900" t="str">
        <f t="shared" si="126"/>
        <v>Business Strategy</v>
      </c>
      <c r="D900" t="s">
        <v>27</v>
      </c>
      <c r="E900" t="str">
        <f t="shared" si="127"/>
        <v>Technova</v>
      </c>
      <c r="F900">
        <v>5</v>
      </c>
      <c r="G900">
        <v>64000</v>
      </c>
      <c r="H900" s="1">
        <v>42348</v>
      </c>
      <c r="I900">
        <v>1</v>
      </c>
      <c r="J900" t="s">
        <v>174</v>
      </c>
      <c r="K900">
        <f t="shared" si="128"/>
        <v>3</v>
      </c>
      <c r="L900">
        <f t="shared" si="129"/>
        <v>4.6875000000000001E-5</v>
      </c>
      <c r="M900" t="b">
        <f t="shared" si="130"/>
        <v>0</v>
      </c>
      <c r="N900" t="b">
        <f t="shared" si="131"/>
        <v>0</v>
      </c>
      <c r="O900" t="s">
        <v>835</v>
      </c>
      <c r="P900">
        <f t="shared" si="132"/>
        <v>0.20312499999999997</v>
      </c>
      <c r="Q900">
        <f t="shared" si="133"/>
        <v>0</v>
      </c>
      <c r="R900">
        <f t="shared" si="134"/>
        <v>0.12187499999999998</v>
      </c>
    </row>
    <row r="901" spans="1:18" hidden="1">
      <c r="A901" t="s">
        <v>934</v>
      </c>
      <c r="B901" t="s">
        <v>25</v>
      </c>
      <c r="C901" t="str">
        <f t="shared" si="126"/>
        <v>Sales &amp; Marketing</v>
      </c>
      <c r="D901" t="s">
        <v>20</v>
      </c>
      <c r="E901" t="str">
        <f t="shared" si="127"/>
        <v>Dataverse</v>
      </c>
      <c r="F901">
        <v>8</v>
      </c>
      <c r="G901">
        <v>28000</v>
      </c>
      <c r="H901" s="1">
        <v>39006</v>
      </c>
      <c r="I901">
        <v>2</v>
      </c>
      <c r="J901" t="s">
        <v>21</v>
      </c>
      <c r="K901">
        <f t="shared" si="128"/>
        <v>1</v>
      </c>
      <c r="L901">
        <f t="shared" si="129"/>
        <v>3.5714285714285717E-5</v>
      </c>
      <c r="M901" t="b">
        <f t="shared" si="130"/>
        <v>0</v>
      </c>
      <c r="N901" t="b">
        <f t="shared" si="131"/>
        <v>1</v>
      </c>
      <c r="O901" t="s">
        <v>835</v>
      </c>
      <c r="P901">
        <f t="shared" si="132"/>
        <v>3.5714285714285726E-2</v>
      </c>
      <c r="Q901">
        <f t="shared" si="133"/>
        <v>0.25</v>
      </c>
      <c r="R901">
        <f t="shared" si="134"/>
        <v>0.12142857142857144</v>
      </c>
    </row>
    <row r="902" spans="1:18" hidden="1">
      <c r="A902" t="s">
        <v>935</v>
      </c>
      <c r="B902" t="s">
        <v>25</v>
      </c>
      <c r="C902" t="str">
        <f t="shared" si="126"/>
        <v>Sales &amp; Marketing</v>
      </c>
      <c r="D902" t="s">
        <v>27</v>
      </c>
      <c r="E902" t="str">
        <f t="shared" si="127"/>
        <v>Technova</v>
      </c>
      <c r="F902">
        <v>2</v>
      </c>
      <c r="G902">
        <v>28000</v>
      </c>
      <c r="H902" s="1">
        <v>44976</v>
      </c>
      <c r="I902">
        <v>2</v>
      </c>
      <c r="J902" t="s">
        <v>21</v>
      </c>
      <c r="K902">
        <f t="shared" si="128"/>
        <v>1</v>
      </c>
      <c r="L902">
        <f t="shared" si="129"/>
        <v>3.5714285714285717E-5</v>
      </c>
      <c r="M902" t="b">
        <f t="shared" si="130"/>
        <v>0</v>
      </c>
      <c r="N902" t="b">
        <f t="shared" si="131"/>
        <v>0</v>
      </c>
      <c r="O902" t="s">
        <v>835</v>
      </c>
      <c r="P902">
        <f t="shared" si="132"/>
        <v>3.5714285714285726E-2</v>
      </c>
      <c r="Q902">
        <f t="shared" si="133"/>
        <v>0.25</v>
      </c>
      <c r="R902">
        <f t="shared" si="134"/>
        <v>0.12142857142857144</v>
      </c>
    </row>
    <row r="903" spans="1:18" hidden="1">
      <c r="A903" t="s">
        <v>936</v>
      </c>
      <c r="B903" t="s">
        <v>56</v>
      </c>
      <c r="C903" t="str">
        <f t="shared" si="126"/>
        <v>IT &amp; Systems</v>
      </c>
      <c r="D903" t="s">
        <v>27</v>
      </c>
      <c r="E903" t="str">
        <f t="shared" si="127"/>
        <v>Technova</v>
      </c>
      <c r="F903">
        <v>24</v>
      </c>
      <c r="G903">
        <v>43000</v>
      </c>
      <c r="H903" s="1">
        <v>42233</v>
      </c>
      <c r="I903">
        <v>1</v>
      </c>
      <c r="J903" t="s">
        <v>57</v>
      </c>
      <c r="K903">
        <f t="shared" si="128"/>
        <v>2</v>
      </c>
      <c r="L903">
        <f t="shared" si="129"/>
        <v>4.6511627906976741E-5</v>
      </c>
      <c r="M903" t="b">
        <f t="shared" si="130"/>
        <v>1</v>
      </c>
      <c r="N903" t="b">
        <f t="shared" si="131"/>
        <v>1</v>
      </c>
      <c r="O903" t="s">
        <v>835</v>
      </c>
      <c r="P903">
        <f t="shared" si="132"/>
        <v>0.1976744186046511</v>
      </c>
      <c r="Q903">
        <f t="shared" si="133"/>
        <v>0</v>
      </c>
      <c r="R903">
        <f t="shared" si="134"/>
        <v>0.11860465116279065</v>
      </c>
    </row>
    <row r="904" spans="1:18" hidden="1">
      <c r="A904" t="s">
        <v>937</v>
      </c>
      <c r="B904" t="s">
        <v>56</v>
      </c>
      <c r="C904" t="str">
        <f t="shared" si="126"/>
        <v>IT &amp; Systems</v>
      </c>
      <c r="D904" t="s">
        <v>27</v>
      </c>
      <c r="E904" t="str">
        <f t="shared" si="127"/>
        <v>Technova</v>
      </c>
      <c r="F904">
        <v>22</v>
      </c>
      <c r="G904">
        <v>43000</v>
      </c>
      <c r="H904" s="1">
        <v>45340</v>
      </c>
      <c r="I904">
        <v>1</v>
      </c>
      <c r="J904" t="s">
        <v>57</v>
      </c>
      <c r="K904">
        <f t="shared" si="128"/>
        <v>2</v>
      </c>
      <c r="L904">
        <f t="shared" si="129"/>
        <v>4.6511627906976741E-5</v>
      </c>
      <c r="M904" t="b">
        <f t="shared" si="130"/>
        <v>1</v>
      </c>
      <c r="N904" t="b">
        <f t="shared" si="131"/>
        <v>1</v>
      </c>
      <c r="O904" t="s">
        <v>835</v>
      </c>
      <c r="P904">
        <f t="shared" si="132"/>
        <v>0.1976744186046511</v>
      </c>
      <c r="Q904">
        <f t="shared" si="133"/>
        <v>0</v>
      </c>
      <c r="R904">
        <f t="shared" si="134"/>
        <v>0.11860465116279065</v>
      </c>
    </row>
    <row r="905" spans="1:18" hidden="1">
      <c r="A905" t="s">
        <v>938</v>
      </c>
      <c r="B905" t="s">
        <v>60</v>
      </c>
      <c r="C905" t="str">
        <f t="shared" si="126"/>
        <v>Manufacturing and operations</v>
      </c>
      <c r="D905" t="s">
        <v>27</v>
      </c>
      <c r="E905" t="str">
        <f t="shared" si="127"/>
        <v>Technova</v>
      </c>
      <c r="F905">
        <v>2</v>
      </c>
      <c r="G905">
        <v>43000</v>
      </c>
      <c r="H905" s="1">
        <v>44096</v>
      </c>
      <c r="I905">
        <v>1</v>
      </c>
      <c r="J905" t="s">
        <v>57</v>
      </c>
      <c r="K905">
        <f t="shared" si="128"/>
        <v>2</v>
      </c>
      <c r="L905">
        <f t="shared" si="129"/>
        <v>4.6511627906976741E-5</v>
      </c>
      <c r="M905" t="b">
        <f t="shared" si="130"/>
        <v>0</v>
      </c>
      <c r="N905" t="b">
        <f t="shared" si="131"/>
        <v>0</v>
      </c>
      <c r="O905" t="s">
        <v>835</v>
      </c>
      <c r="P905">
        <f t="shared" si="132"/>
        <v>0.1976744186046511</v>
      </c>
      <c r="Q905">
        <f t="shared" si="133"/>
        <v>0</v>
      </c>
      <c r="R905">
        <f t="shared" si="134"/>
        <v>0.11860465116279065</v>
      </c>
    </row>
    <row r="906" spans="1:18" hidden="1">
      <c r="A906" t="s">
        <v>939</v>
      </c>
      <c r="B906" t="s">
        <v>204</v>
      </c>
      <c r="C906" t="str">
        <f t="shared" si="126"/>
        <v>Administrative Services</v>
      </c>
      <c r="D906" t="s">
        <v>27</v>
      </c>
      <c r="E906" t="str">
        <f t="shared" si="127"/>
        <v>Technova</v>
      </c>
      <c r="F906">
        <v>16</v>
      </c>
      <c r="G906">
        <v>65000</v>
      </c>
      <c r="H906" s="1">
        <v>42837</v>
      </c>
      <c r="I906">
        <v>1</v>
      </c>
      <c r="J906" t="s">
        <v>174</v>
      </c>
      <c r="K906">
        <f t="shared" si="128"/>
        <v>3</v>
      </c>
      <c r="L906">
        <f t="shared" si="129"/>
        <v>4.6153846153846151E-5</v>
      </c>
      <c r="M906" t="b">
        <f t="shared" si="130"/>
        <v>1</v>
      </c>
      <c r="N906" t="b">
        <f t="shared" si="131"/>
        <v>1</v>
      </c>
      <c r="O906" t="s">
        <v>835</v>
      </c>
      <c r="P906">
        <f t="shared" si="132"/>
        <v>0.19230769230769224</v>
      </c>
      <c r="Q906">
        <f t="shared" si="133"/>
        <v>0</v>
      </c>
      <c r="R906">
        <f t="shared" si="134"/>
        <v>0.11538461538461534</v>
      </c>
    </row>
    <row r="907" spans="1:18" hidden="1">
      <c r="A907" t="s">
        <v>940</v>
      </c>
      <c r="B907" t="s">
        <v>70</v>
      </c>
      <c r="C907" t="str">
        <f t="shared" si="126"/>
        <v>Customer Experience</v>
      </c>
      <c r="D907" t="s">
        <v>27</v>
      </c>
      <c r="E907" t="str">
        <f t="shared" si="127"/>
        <v>Technova</v>
      </c>
      <c r="F907">
        <v>23</v>
      </c>
      <c r="G907">
        <v>65000</v>
      </c>
      <c r="H907" s="1">
        <v>39837</v>
      </c>
      <c r="I907">
        <v>1</v>
      </c>
      <c r="J907" t="s">
        <v>174</v>
      </c>
      <c r="K907">
        <f t="shared" si="128"/>
        <v>3</v>
      </c>
      <c r="L907">
        <f t="shared" si="129"/>
        <v>4.6153846153846151E-5</v>
      </c>
      <c r="M907" t="b">
        <f t="shared" si="130"/>
        <v>1</v>
      </c>
      <c r="N907" t="b">
        <f t="shared" si="131"/>
        <v>1</v>
      </c>
      <c r="O907" t="s">
        <v>835</v>
      </c>
      <c r="P907">
        <f t="shared" si="132"/>
        <v>0.19230769230769224</v>
      </c>
      <c r="Q907">
        <f t="shared" si="133"/>
        <v>0</v>
      </c>
      <c r="R907">
        <f t="shared" si="134"/>
        <v>0.11538461538461534</v>
      </c>
    </row>
    <row r="908" spans="1:18" hidden="1">
      <c r="A908" t="s">
        <v>941</v>
      </c>
      <c r="B908" t="s">
        <v>70</v>
      </c>
      <c r="C908" t="str">
        <f t="shared" si="126"/>
        <v>Customer Experience</v>
      </c>
      <c r="D908" t="s">
        <v>20</v>
      </c>
      <c r="E908" t="str">
        <f t="shared" si="127"/>
        <v>Dataverse</v>
      </c>
      <c r="F908">
        <v>4</v>
      </c>
      <c r="G908">
        <v>65000</v>
      </c>
      <c r="H908" s="1">
        <v>40327</v>
      </c>
      <c r="I908">
        <v>1</v>
      </c>
      <c r="J908" t="s">
        <v>174</v>
      </c>
      <c r="K908">
        <f t="shared" si="128"/>
        <v>3</v>
      </c>
      <c r="L908">
        <f t="shared" si="129"/>
        <v>4.6153846153846151E-5</v>
      </c>
      <c r="M908" t="b">
        <f t="shared" si="130"/>
        <v>0</v>
      </c>
      <c r="N908" t="b">
        <f t="shared" si="131"/>
        <v>0</v>
      </c>
      <c r="O908" t="s">
        <v>835</v>
      </c>
      <c r="P908">
        <f t="shared" si="132"/>
        <v>0.19230769230769224</v>
      </c>
      <c r="Q908">
        <f t="shared" si="133"/>
        <v>0</v>
      </c>
      <c r="R908">
        <f t="shared" si="134"/>
        <v>0.11538461538461534</v>
      </c>
    </row>
    <row r="909" spans="1:18" hidden="1">
      <c r="A909" t="s">
        <v>942</v>
      </c>
      <c r="B909" t="s">
        <v>204</v>
      </c>
      <c r="C909" t="str">
        <f t="shared" si="126"/>
        <v>Administrative Services</v>
      </c>
      <c r="D909" t="s">
        <v>27</v>
      </c>
      <c r="E909" t="str">
        <f t="shared" si="127"/>
        <v>Technova</v>
      </c>
      <c r="F909">
        <v>10</v>
      </c>
      <c r="G909">
        <v>86000</v>
      </c>
      <c r="H909" s="1">
        <v>43666</v>
      </c>
      <c r="I909">
        <v>2</v>
      </c>
      <c r="J909" t="s">
        <v>174</v>
      </c>
      <c r="K909">
        <f t="shared" si="128"/>
        <v>3</v>
      </c>
      <c r="L909">
        <f t="shared" si="129"/>
        <v>3.4883720930232556E-5</v>
      </c>
      <c r="M909" t="b">
        <f t="shared" si="130"/>
        <v>0</v>
      </c>
      <c r="N909" t="b">
        <f t="shared" si="131"/>
        <v>1</v>
      </c>
      <c r="O909" t="s">
        <v>835</v>
      </c>
      <c r="P909">
        <f t="shared" si="132"/>
        <v>2.3255813953488316E-2</v>
      </c>
      <c r="Q909">
        <f t="shared" si="133"/>
        <v>0.25</v>
      </c>
      <c r="R909">
        <f t="shared" si="134"/>
        <v>0.113953488372093</v>
      </c>
    </row>
    <row r="910" spans="1:18" hidden="1">
      <c r="A910" t="s">
        <v>943</v>
      </c>
      <c r="B910" t="s">
        <v>19</v>
      </c>
      <c r="C910" t="str">
        <f t="shared" si="126"/>
        <v>Research &amp; Department</v>
      </c>
      <c r="D910" t="s">
        <v>27</v>
      </c>
      <c r="E910" t="str">
        <f t="shared" si="127"/>
        <v>Technova</v>
      </c>
      <c r="F910">
        <v>22</v>
      </c>
      <c r="G910">
        <v>29000</v>
      </c>
      <c r="H910" s="1">
        <v>44667</v>
      </c>
      <c r="I910">
        <v>2</v>
      </c>
      <c r="J910" t="s">
        <v>21</v>
      </c>
      <c r="K910">
        <f t="shared" si="128"/>
        <v>1</v>
      </c>
      <c r="L910">
        <f t="shared" si="129"/>
        <v>3.4482758620689657E-5</v>
      </c>
      <c r="M910" t="b">
        <f t="shared" si="130"/>
        <v>1</v>
      </c>
      <c r="N910" t="b">
        <f t="shared" si="131"/>
        <v>1</v>
      </c>
      <c r="O910" t="s">
        <v>835</v>
      </c>
      <c r="P910">
        <f t="shared" si="132"/>
        <v>1.7241379310344824E-2</v>
      </c>
      <c r="Q910">
        <f t="shared" si="133"/>
        <v>0.25</v>
      </c>
      <c r="R910">
        <f t="shared" si="134"/>
        <v>0.1103448275862069</v>
      </c>
    </row>
    <row r="911" spans="1:18" hidden="1">
      <c r="A911" t="s">
        <v>944</v>
      </c>
      <c r="B911" t="s">
        <v>70</v>
      </c>
      <c r="C911" t="str">
        <f t="shared" si="126"/>
        <v>Customer Experience</v>
      </c>
      <c r="D911" t="s">
        <v>20</v>
      </c>
      <c r="E911" t="str">
        <f t="shared" si="127"/>
        <v>Dataverse</v>
      </c>
      <c r="F911">
        <v>18</v>
      </c>
      <c r="G911">
        <v>87000</v>
      </c>
      <c r="H911" s="1">
        <v>45261</v>
      </c>
      <c r="I911">
        <v>2</v>
      </c>
      <c r="J911" t="s">
        <v>174</v>
      </c>
      <c r="K911">
        <f t="shared" si="128"/>
        <v>3</v>
      </c>
      <c r="L911">
        <f t="shared" si="129"/>
        <v>3.4482758620689657E-5</v>
      </c>
      <c r="M911" t="b">
        <f t="shared" si="130"/>
        <v>1</v>
      </c>
      <c r="N911" t="b">
        <f t="shared" si="131"/>
        <v>1</v>
      </c>
      <c r="O911" t="s">
        <v>835</v>
      </c>
      <c r="P911">
        <f t="shared" si="132"/>
        <v>1.7241379310344824E-2</v>
      </c>
      <c r="Q911">
        <f t="shared" si="133"/>
        <v>0.25</v>
      </c>
      <c r="R911">
        <f t="shared" si="134"/>
        <v>0.1103448275862069</v>
      </c>
    </row>
    <row r="912" spans="1:18" hidden="1">
      <c r="A912" t="s">
        <v>945</v>
      </c>
      <c r="B912" t="s">
        <v>25</v>
      </c>
      <c r="C912" t="str">
        <f t="shared" si="126"/>
        <v>Sales &amp; Marketing</v>
      </c>
      <c r="D912" t="s">
        <v>27</v>
      </c>
      <c r="E912" t="str">
        <f t="shared" si="127"/>
        <v>Technova</v>
      </c>
      <c r="F912">
        <v>21</v>
      </c>
      <c r="G912">
        <v>29000</v>
      </c>
      <c r="H912" s="1">
        <v>45098</v>
      </c>
      <c r="I912">
        <v>2</v>
      </c>
      <c r="J912" t="s">
        <v>21</v>
      </c>
      <c r="K912">
        <f t="shared" si="128"/>
        <v>1</v>
      </c>
      <c r="L912">
        <f t="shared" si="129"/>
        <v>3.4482758620689657E-5</v>
      </c>
      <c r="M912" t="b">
        <f t="shared" si="130"/>
        <v>1</v>
      </c>
      <c r="N912" t="b">
        <f t="shared" si="131"/>
        <v>1</v>
      </c>
      <c r="O912" t="s">
        <v>835</v>
      </c>
      <c r="P912">
        <f t="shared" si="132"/>
        <v>1.7241379310344824E-2</v>
      </c>
      <c r="Q912">
        <f t="shared" si="133"/>
        <v>0.25</v>
      </c>
      <c r="R912">
        <f t="shared" si="134"/>
        <v>0.1103448275862069</v>
      </c>
    </row>
    <row r="913" spans="1:18" hidden="1">
      <c r="A913" t="s">
        <v>946</v>
      </c>
      <c r="B913" t="s">
        <v>70</v>
      </c>
      <c r="C913" t="str">
        <f t="shared" si="126"/>
        <v>Customer Experience</v>
      </c>
      <c r="D913" t="s">
        <v>20</v>
      </c>
      <c r="E913" t="str">
        <f t="shared" si="127"/>
        <v>Dataverse</v>
      </c>
      <c r="F913">
        <v>15</v>
      </c>
      <c r="G913">
        <v>87000</v>
      </c>
      <c r="H913" s="1">
        <v>42432</v>
      </c>
      <c r="I913">
        <v>2</v>
      </c>
      <c r="J913" t="s">
        <v>174</v>
      </c>
      <c r="K913">
        <f t="shared" si="128"/>
        <v>3</v>
      </c>
      <c r="L913">
        <f t="shared" si="129"/>
        <v>3.4482758620689657E-5</v>
      </c>
      <c r="M913" t="b">
        <f t="shared" si="130"/>
        <v>0</v>
      </c>
      <c r="N913" t="b">
        <f t="shared" si="131"/>
        <v>1</v>
      </c>
      <c r="O913" t="s">
        <v>835</v>
      </c>
      <c r="P913">
        <f t="shared" si="132"/>
        <v>1.7241379310344824E-2</v>
      </c>
      <c r="Q913">
        <f t="shared" si="133"/>
        <v>0.25</v>
      </c>
      <c r="R913">
        <f t="shared" si="134"/>
        <v>0.1103448275862069</v>
      </c>
    </row>
    <row r="914" spans="1:18" hidden="1">
      <c r="A914" t="s">
        <v>947</v>
      </c>
      <c r="B914" t="s">
        <v>74</v>
      </c>
      <c r="C914" t="str">
        <f t="shared" si="126"/>
        <v>Human Resources</v>
      </c>
      <c r="D914" t="s">
        <v>27</v>
      </c>
      <c r="E914" t="str">
        <f t="shared" si="127"/>
        <v>Technova</v>
      </c>
      <c r="F914">
        <v>9</v>
      </c>
      <c r="G914">
        <v>44000</v>
      </c>
      <c r="H914" s="1">
        <v>45363</v>
      </c>
      <c r="I914">
        <v>1</v>
      </c>
      <c r="J914" t="s">
        <v>57</v>
      </c>
      <c r="K914">
        <f t="shared" si="128"/>
        <v>2</v>
      </c>
      <c r="L914">
        <f t="shared" si="129"/>
        <v>4.5454545454545452E-5</v>
      </c>
      <c r="M914" t="b">
        <f t="shared" si="130"/>
        <v>0</v>
      </c>
      <c r="N914" t="b">
        <f t="shared" si="131"/>
        <v>1</v>
      </c>
      <c r="O914" t="s">
        <v>835</v>
      </c>
      <c r="P914">
        <f t="shared" si="132"/>
        <v>0.18181818181818174</v>
      </c>
      <c r="Q914">
        <f t="shared" si="133"/>
        <v>0</v>
      </c>
      <c r="R914">
        <f t="shared" si="134"/>
        <v>0.10909090909090904</v>
      </c>
    </row>
    <row r="915" spans="1:18" hidden="1">
      <c r="A915" t="s">
        <v>948</v>
      </c>
      <c r="B915" t="s">
        <v>56</v>
      </c>
      <c r="C915" t="str">
        <f t="shared" si="126"/>
        <v>IT &amp; Systems</v>
      </c>
      <c r="D915" t="s">
        <v>20</v>
      </c>
      <c r="E915" t="str">
        <f t="shared" si="127"/>
        <v>Dataverse</v>
      </c>
      <c r="F915">
        <v>22</v>
      </c>
      <c r="G915">
        <v>44000</v>
      </c>
      <c r="H915" s="1">
        <v>39297</v>
      </c>
      <c r="I915">
        <v>1</v>
      </c>
      <c r="J915" t="s">
        <v>57</v>
      </c>
      <c r="K915">
        <f t="shared" si="128"/>
        <v>2</v>
      </c>
      <c r="L915">
        <f t="shared" si="129"/>
        <v>4.5454545454545452E-5</v>
      </c>
      <c r="M915" t="b">
        <f t="shared" si="130"/>
        <v>1</v>
      </c>
      <c r="N915" t="b">
        <f t="shared" si="131"/>
        <v>1</v>
      </c>
      <c r="O915" t="s">
        <v>835</v>
      </c>
      <c r="P915">
        <f t="shared" si="132"/>
        <v>0.18181818181818174</v>
      </c>
      <c r="Q915">
        <f t="shared" si="133"/>
        <v>0</v>
      </c>
      <c r="R915">
        <f t="shared" si="134"/>
        <v>0.10909090909090904</v>
      </c>
    </row>
    <row r="916" spans="1:18" hidden="1">
      <c r="A916" t="s">
        <v>949</v>
      </c>
      <c r="B916" t="s">
        <v>25</v>
      </c>
      <c r="C916" t="str">
        <f t="shared" si="126"/>
        <v>Sales &amp; Marketing</v>
      </c>
      <c r="D916" t="s">
        <v>20</v>
      </c>
      <c r="E916" t="str">
        <f t="shared" si="127"/>
        <v>Dataverse</v>
      </c>
      <c r="F916">
        <v>9</v>
      </c>
      <c r="G916">
        <v>22000</v>
      </c>
      <c r="H916" s="1">
        <v>44228</v>
      </c>
      <c r="I916">
        <v>1</v>
      </c>
      <c r="J916" t="s">
        <v>21</v>
      </c>
      <c r="K916">
        <f t="shared" si="128"/>
        <v>1</v>
      </c>
      <c r="L916">
        <f t="shared" si="129"/>
        <v>4.5454545454545452E-5</v>
      </c>
      <c r="M916" t="b">
        <f t="shared" si="130"/>
        <v>0</v>
      </c>
      <c r="N916" t="b">
        <f t="shared" si="131"/>
        <v>1</v>
      </c>
      <c r="O916" t="s">
        <v>835</v>
      </c>
      <c r="P916">
        <f t="shared" si="132"/>
        <v>0.18181818181818174</v>
      </c>
      <c r="Q916">
        <f t="shared" si="133"/>
        <v>0</v>
      </c>
      <c r="R916">
        <f t="shared" si="134"/>
        <v>0.10909090909090904</v>
      </c>
    </row>
    <row r="917" spans="1:18" hidden="1">
      <c r="A917" t="s">
        <v>950</v>
      </c>
      <c r="B917" t="s">
        <v>70</v>
      </c>
      <c r="C917" t="str">
        <f t="shared" si="126"/>
        <v>Customer Experience</v>
      </c>
      <c r="D917" t="s">
        <v>27</v>
      </c>
      <c r="E917" t="str">
        <f t="shared" si="127"/>
        <v>Technova</v>
      </c>
      <c r="F917">
        <v>17</v>
      </c>
      <c r="G917">
        <v>66000</v>
      </c>
      <c r="H917" s="1">
        <v>45086</v>
      </c>
      <c r="I917">
        <v>1</v>
      </c>
      <c r="J917" t="s">
        <v>174</v>
      </c>
      <c r="K917">
        <f t="shared" si="128"/>
        <v>3</v>
      </c>
      <c r="L917">
        <f t="shared" si="129"/>
        <v>4.5454545454545452E-5</v>
      </c>
      <c r="M917" t="b">
        <f t="shared" si="130"/>
        <v>1</v>
      </c>
      <c r="N917" t="b">
        <f t="shared" si="131"/>
        <v>1</v>
      </c>
      <c r="O917" t="s">
        <v>835</v>
      </c>
      <c r="P917">
        <f t="shared" si="132"/>
        <v>0.18181818181818174</v>
      </c>
      <c r="Q917">
        <f t="shared" si="133"/>
        <v>0</v>
      </c>
      <c r="R917">
        <f t="shared" si="134"/>
        <v>0.10909090909090904</v>
      </c>
    </row>
    <row r="918" spans="1:18" hidden="1">
      <c r="A918" t="s">
        <v>951</v>
      </c>
      <c r="B918" t="s">
        <v>60</v>
      </c>
      <c r="C918" t="str">
        <f t="shared" si="126"/>
        <v>Manufacturing and operations</v>
      </c>
      <c r="D918" t="s">
        <v>20</v>
      </c>
      <c r="E918" t="str">
        <f t="shared" si="127"/>
        <v>Dataverse</v>
      </c>
      <c r="F918">
        <v>22</v>
      </c>
      <c r="G918">
        <v>44000</v>
      </c>
      <c r="H918" s="1">
        <v>40568</v>
      </c>
      <c r="I918">
        <v>1</v>
      </c>
      <c r="J918" t="s">
        <v>57</v>
      </c>
      <c r="K918">
        <f t="shared" si="128"/>
        <v>2</v>
      </c>
      <c r="L918">
        <f t="shared" si="129"/>
        <v>4.5454545454545452E-5</v>
      </c>
      <c r="M918" t="b">
        <f t="shared" si="130"/>
        <v>1</v>
      </c>
      <c r="N918" t="b">
        <f t="shared" si="131"/>
        <v>1</v>
      </c>
      <c r="O918" t="s">
        <v>835</v>
      </c>
      <c r="P918">
        <f t="shared" si="132"/>
        <v>0.18181818181818174</v>
      </c>
      <c r="Q918">
        <f t="shared" si="133"/>
        <v>0</v>
      </c>
      <c r="R918">
        <f t="shared" si="134"/>
        <v>0.10909090909090904</v>
      </c>
    </row>
    <row r="919" spans="1:18" hidden="1">
      <c r="A919" t="s">
        <v>952</v>
      </c>
      <c r="B919" t="s">
        <v>25</v>
      </c>
      <c r="C919" t="str">
        <f t="shared" si="126"/>
        <v>Sales &amp; Marketing</v>
      </c>
      <c r="D919" t="s">
        <v>20</v>
      </c>
      <c r="E919" t="str">
        <f t="shared" si="127"/>
        <v>Dataverse</v>
      </c>
      <c r="F919">
        <v>18</v>
      </c>
      <c r="G919">
        <v>22000</v>
      </c>
      <c r="H919" s="1">
        <v>40993</v>
      </c>
      <c r="I919">
        <v>1</v>
      </c>
      <c r="J919" t="s">
        <v>21</v>
      </c>
      <c r="K919">
        <f t="shared" si="128"/>
        <v>1</v>
      </c>
      <c r="L919">
        <f t="shared" si="129"/>
        <v>4.5454545454545452E-5</v>
      </c>
      <c r="M919" t="b">
        <f t="shared" si="130"/>
        <v>1</v>
      </c>
      <c r="N919" t="b">
        <f t="shared" si="131"/>
        <v>1</v>
      </c>
      <c r="O919" t="s">
        <v>835</v>
      </c>
      <c r="P919">
        <f t="shared" si="132"/>
        <v>0.18181818181818174</v>
      </c>
      <c r="Q919">
        <f t="shared" si="133"/>
        <v>0</v>
      </c>
      <c r="R919">
        <f t="shared" si="134"/>
        <v>0.10909090909090904</v>
      </c>
    </row>
    <row r="920" spans="1:18" hidden="1">
      <c r="A920" t="s">
        <v>953</v>
      </c>
      <c r="B920" t="s">
        <v>224</v>
      </c>
      <c r="C920" t="str">
        <f t="shared" si="126"/>
        <v>Business Strategy</v>
      </c>
      <c r="D920" t="s">
        <v>27</v>
      </c>
      <c r="E920" t="str">
        <f t="shared" si="127"/>
        <v>Technova</v>
      </c>
      <c r="F920">
        <v>13</v>
      </c>
      <c r="G920">
        <v>88000</v>
      </c>
      <c r="H920" s="1">
        <v>39278</v>
      </c>
      <c r="I920">
        <v>2</v>
      </c>
      <c r="J920" t="s">
        <v>174</v>
      </c>
      <c r="K920">
        <f t="shared" si="128"/>
        <v>3</v>
      </c>
      <c r="L920">
        <f t="shared" si="129"/>
        <v>3.4090909090909092E-5</v>
      </c>
      <c r="M920" t="b">
        <f t="shared" si="130"/>
        <v>0</v>
      </c>
      <c r="N920" t="b">
        <f t="shared" si="131"/>
        <v>1</v>
      </c>
      <c r="O920" t="s">
        <v>835</v>
      </c>
      <c r="P920">
        <f t="shared" si="132"/>
        <v>1.1363636363636359E-2</v>
      </c>
      <c r="Q920">
        <f t="shared" si="133"/>
        <v>0.25</v>
      </c>
      <c r="R920">
        <f t="shared" si="134"/>
        <v>0.10681818181818183</v>
      </c>
    </row>
    <row r="921" spans="1:18" hidden="1">
      <c r="A921" t="s">
        <v>954</v>
      </c>
      <c r="B921" t="s">
        <v>224</v>
      </c>
      <c r="C921" t="str">
        <f t="shared" si="126"/>
        <v>Business Strategy</v>
      </c>
      <c r="D921" t="s">
        <v>20</v>
      </c>
      <c r="E921" t="str">
        <f t="shared" si="127"/>
        <v>Dataverse</v>
      </c>
      <c r="F921">
        <v>14</v>
      </c>
      <c r="G921">
        <v>88000</v>
      </c>
      <c r="H921" s="1">
        <v>43346</v>
      </c>
      <c r="I921">
        <v>2</v>
      </c>
      <c r="J921" t="s">
        <v>174</v>
      </c>
      <c r="K921">
        <f t="shared" si="128"/>
        <v>3</v>
      </c>
      <c r="L921">
        <f t="shared" si="129"/>
        <v>3.4090909090909092E-5</v>
      </c>
      <c r="M921" t="b">
        <f t="shared" si="130"/>
        <v>0</v>
      </c>
      <c r="N921" t="b">
        <f t="shared" si="131"/>
        <v>1</v>
      </c>
      <c r="O921" t="s">
        <v>835</v>
      </c>
      <c r="P921">
        <f t="shared" si="132"/>
        <v>1.1363636363636359E-2</v>
      </c>
      <c r="Q921">
        <f t="shared" si="133"/>
        <v>0.25</v>
      </c>
      <c r="R921">
        <f t="shared" si="134"/>
        <v>0.10681818181818183</v>
      </c>
    </row>
    <row r="922" spans="1:18" hidden="1">
      <c r="A922" t="s">
        <v>955</v>
      </c>
      <c r="B922" t="s">
        <v>70</v>
      </c>
      <c r="C922" t="str">
        <f t="shared" si="126"/>
        <v>Customer Experience</v>
      </c>
      <c r="D922" t="s">
        <v>20</v>
      </c>
      <c r="E922" t="str">
        <f t="shared" si="127"/>
        <v>Dataverse</v>
      </c>
      <c r="F922">
        <v>25</v>
      </c>
      <c r="G922">
        <v>88000</v>
      </c>
      <c r="H922" s="1">
        <v>43674</v>
      </c>
      <c r="I922">
        <v>2</v>
      </c>
      <c r="J922" t="s">
        <v>174</v>
      </c>
      <c r="K922">
        <f t="shared" si="128"/>
        <v>3</v>
      </c>
      <c r="L922">
        <f t="shared" si="129"/>
        <v>3.4090909090909092E-5</v>
      </c>
      <c r="M922" t="b">
        <f t="shared" si="130"/>
        <v>1</v>
      </c>
      <c r="N922" t="b">
        <f t="shared" si="131"/>
        <v>1</v>
      </c>
      <c r="O922" t="s">
        <v>835</v>
      </c>
      <c r="P922">
        <f t="shared" si="132"/>
        <v>1.1363636363636359E-2</v>
      </c>
      <c r="Q922">
        <f t="shared" si="133"/>
        <v>0.25</v>
      </c>
      <c r="R922">
        <f t="shared" si="134"/>
        <v>0.10681818181818183</v>
      </c>
    </row>
    <row r="923" spans="1:18" hidden="1">
      <c r="A923" t="s">
        <v>956</v>
      </c>
      <c r="B923" t="s">
        <v>224</v>
      </c>
      <c r="C923" t="str">
        <f t="shared" si="126"/>
        <v>Business Strategy</v>
      </c>
      <c r="D923" t="s">
        <v>27</v>
      </c>
      <c r="E923" t="str">
        <f t="shared" si="127"/>
        <v>Technova</v>
      </c>
      <c r="F923">
        <v>20</v>
      </c>
      <c r="G923">
        <v>89000</v>
      </c>
      <c r="H923" s="1">
        <v>41274</v>
      </c>
      <c r="I923">
        <v>2</v>
      </c>
      <c r="J923" t="s">
        <v>174</v>
      </c>
      <c r="K923">
        <f t="shared" si="128"/>
        <v>3</v>
      </c>
      <c r="L923">
        <f t="shared" si="129"/>
        <v>3.3707865168539323E-5</v>
      </c>
      <c r="M923" t="b">
        <f t="shared" si="130"/>
        <v>1</v>
      </c>
      <c r="N923" t="b">
        <f t="shared" si="131"/>
        <v>1</v>
      </c>
      <c r="O923" t="s">
        <v>835</v>
      </c>
      <c r="P923">
        <f t="shared" si="132"/>
        <v>5.6179775280898224E-3</v>
      </c>
      <c r="Q923">
        <f t="shared" si="133"/>
        <v>0.25</v>
      </c>
      <c r="R923">
        <f t="shared" si="134"/>
        <v>0.1033707865168539</v>
      </c>
    </row>
    <row r="924" spans="1:18" hidden="1">
      <c r="A924" t="s">
        <v>957</v>
      </c>
      <c r="B924" t="s">
        <v>224</v>
      </c>
      <c r="C924" t="str">
        <f t="shared" si="126"/>
        <v>Business Strategy</v>
      </c>
      <c r="D924" t="s">
        <v>27</v>
      </c>
      <c r="E924" t="str">
        <f t="shared" si="127"/>
        <v>Technova</v>
      </c>
      <c r="F924">
        <v>11</v>
      </c>
      <c r="G924">
        <v>89000</v>
      </c>
      <c r="H924" s="1">
        <v>43360</v>
      </c>
      <c r="I924">
        <v>2</v>
      </c>
      <c r="J924" t="s">
        <v>174</v>
      </c>
      <c r="K924">
        <f t="shared" si="128"/>
        <v>3</v>
      </c>
      <c r="L924">
        <f t="shared" si="129"/>
        <v>3.3707865168539323E-5</v>
      </c>
      <c r="M924" t="b">
        <f t="shared" si="130"/>
        <v>0</v>
      </c>
      <c r="N924" t="b">
        <f t="shared" si="131"/>
        <v>1</v>
      </c>
      <c r="O924" t="s">
        <v>835</v>
      </c>
      <c r="P924">
        <f t="shared" si="132"/>
        <v>5.6179775280898224E-3</v>
      </c>
      <c r="Q924">
        <f t="shared" si="133"/>
        <v>0.25</v>
      </c>
      <c r="R924">
        <f t="shared" si="134"/>
        <v>0.1033707865168539</v>
      </c>
    </row>
    <row r="925" spans="1:18" hidden="1">
      <c r="A925" t="s">
        <v>958</v>
      </c>
      <c r="B925" t="s">
        <v>70</v>
      </c>
      <c r="C925" t="str">
        <f t="shared" si="126"/>
        <v>Customer Experience</v>
      </c>
      <c r="D925" t="s">
        <v>20</v>
      </c>
      <c r="E925" t="str">
        <f t="shared" si="127"/>
        <v>Dataverse</v>
      </c>
      <c r="F925">
        <v>6</v>
      </c>
      <c r="G925">
        <v>89000</v>
      </c>
      <c r="H925" s="1">
        <v>41583</v>
      </c>
      <c r="I925">
        <v>2</v>
      </c>
      <c r="J925" t="s">
        <v>174</v>
      </c>
      <c r="K925">
        <f t="shared" si="128"/>
        <v>3</v>
      </c>
      <c r="L925">
        <f t="shared" si="129"/>
        <v>3.3707865168539323E-5</v>
      </c>
      <c r="M925" t="b">
        <f t="shared" si="130"/>
        <v>0</v>
      </c>
      <c r="N925" t="b">
        <f t="shared" si="131"/>
        <v>1</v>
      </c>
      <c r="O925" t="s">
        <v>835</v>
      </c>
      <c r="P925">
        <f t="shared" si="132"/>
        <v>5.6179775280898224E-3</v>
      </c>
      <c r="Q925">
        <f t="shared" si="133"/>
        <v>0.25</v>
      </c>
      <c r="R925">
        <f t="shared" si="134"/>
        <v>0.1033707865168539</v>
      </c>
    </row>
    <row r="926" spans="1:18" hidden="1">
      <c r="A926" t="s">
        <v>959</v>
      </c>
      <c r="B926" t="s">
        <v>19</v>
      </c>
      <c r="C926" t="str">
        <f t="shared" si="126"/>
        <v>Research &amp; Department</v>
      </c>
      <c r="D926" t="s">
        <v>27</v>
      </c>
      <c r="E926" t="str">
        <f t="shared" si="127"/>
        <v>Technova</v>
      </c>
      <c r="F926">
        <v>11</v>
      </c>
      <c r="G926">
        <v>30000</v>
      </c>
      <c r="H926" s="1">
        <v>43717</v>
      </c>
      <c r="I926">
        <v>2</v>
      </c>
      <c r="J926" t="s">
        <v>21</v>
      </c>
      <c r="K926">
        <f t="shared" si="128"/>
        <v>1</v>
      </c>
      <c r="L926">
        <f t="shared" si="129"/>
        <v>3.3333333333333335E-5</v>
      </c>
      <c r="M926" t="b">
        <f t="shared" si="130"/>
        <v>0</v>
      </c>
      <c r="N926" t="b">
        <f t="shared" si="131"/>
        <v>1</v>
      </c>
      <c r="O926" t="s">
        <v>835</v>
      </c>
      <c r="P926">
        <f t="shared" si="132"/>
        <v>0</v>
      </c>
      <c r="Q926">
        <f t="shared" si="133"/>
        <v>0.25</v>
      </c>
      <c r="R926">
        <f t="shared" si="134"/>
        <v>0.1</v>
      </c>
    </row>
    <row r="927" spans="1:18" hidden="1">
      <c r="A927" t="s">
        <v>960</v>
      </c>
      <c r="B927" t="s">
        <v>19</v>
      </c>
      <c r="C927" t="str">
        <f t="shared" si="126"/>
        <v>Research &amp; Department</v>
      </c>
      <c r="D927" t="s">
        <v>27</v>
      </c>
      <c r="E927" t="str">
        <f t="shared" si="127"/>
        <v>Technova</v>
      </c>
      <c r="F927">
        <v>8</v>
      </c>
      <c r="G927">
        <v>30000</v>
      </c>
      <c r="H927" s="1">
        <v>40948</v>
      </c>
      <c r="I927">
        <v>2</v>
      </c>
      <c r="J927" t="s">
        <v>21</v>
      </c>
      <c r="K927">
        <f t="shared" si="128"/>
        <v>1</v>
      </c>
      <c r="L927">
        <f t="shared" si="129"/>
        <v>3.3333333333333335E-5</v>
      </c>
      <c r="M927" t="b">
        <f t="shared" si="130"/>
        <v>0</v>
      </c>
      <c r="N927" t="b">
        <f t="shared" si="131"/>
        <v>1</v>
      </c>
      <c r="O927" t="s">
        <v>835</v>
      </c>
      <c r="P927">
        <f t="shared" si="132"/>
        <v>0</v>
      </c>
      <c r="Q927">
        <f t="shared" si="133"/>
        <v>0.25</v>
      </c>
      <c r="R927">
        <f t="shared" si="134"/>
        <v>0.1</v>
      </c>
    </row>
    <row r="928" spans="1:18" hidden="1">
      <c r="A928" t="s">
        <v>961</v>
      </c>
      <c r="B928" t="s">
        <v>70</v>
      </c>
      <c r="C928" t="str">
        <f t="shared" si="126"/>
        <v>Customer Experience</v>
      </c>
      <c r="D928" t="s">
        <v>27</v>
      </c>
      <c r="E928" t="str">
        <f t="shared" si="127"/>
        <v>Technova</v>
      </c>
      <c r="F928">
        <v>9</v>
      </c>
      <c r="G928">
        <v>45000</v>
      </c>
      <c r="H928" s="1">
        <v>40427</v>
      </c>
      <c r="I928">
        <v>1</v>
      </c>
      <c r="J928" t="s">
        <v>57</v>
      </c>
      <c r="K928">
        <f t="shared" si="128"/>
        <v>2</v>
      </c>
      <c r="L928">
        <f t="shared" si="129"/>
        <v>4.4444444444444447E-5</v>
      </c>
      <c r="M928" t="b">
        <f t="shared" si="130"/>
        <v>0</v>
      </c>
      <c r="N928" t="b">
        <f t="shared" si="131"/>
        <v>1</v>
      </c>
      <c r="O928" t="s">
        <v>835</v>
      </c>
      <c r="P928">
        <f t="shared" si="132"/>
        <v>0.16666666666666666</v>
      </c>
      <c r="Q928">
        <f t="shared" si="133"/>
        <v>0</v>
      </c>
      <c r="R928">
        <f t="shared" si="134"/>
        <v>9.9999999999999992E-2</v>
      </c>
    </row>
    <row r="929" spans="1:18" hidden="1">
      <c r="A929" t="s">
        <v>962</v>
      </c>
      <c r="B929" t="s">
        <v>102</v>
      </c>
      <c r="C929" t="str">
        <f t="shared" si="126"/>
        <v>Finance</v>
      </c>
      <c r="D929" t="s">
        <v>20</v>
      </c>
      <c r="E929" t="str">
        <f t="shared" si="127"/>
        <v>Dataverse</v>
      </c>
      <c r="F929">
        <v>7</v>
      </c>
      <c r="G929">
        <v>45000</v>
      </c>
      <c r="H929" s="1">
        <v>40544</v>
      </c>
      <c r="I929">
        <v>1</v>
      </c>
      <c r="J929" t="s">
        <v>57</v>
      </c>
      <c r="K929">
        <f t="shared" si="128"/>
        <v>2</v>
      </c>
      <c r="L929">
        <f t="shared" si="129"/>
        <v>4.4444444444444447E-5</v>
      </c>
      <c r="M929" t="b">
        <f t="shared" si="130"/>
        <v>0</v>
      </c>
      <c r="N929" t="b">
        <f t="shared" si="131"/>
        <v>1</v>
      </c>
      <c r="O929" t="s">
        <v>835</v>
      </c>
      <c r="P929">
        <f t="shared" si="132"/>
        <v>0.16666666666666666</v>
      </c>
      <c r="Q929">
        <f t="shared" si="133"/>
        <v>0</v>
      </c>
      <c r="R929">
        <f t="shared" si="134"/>
        <v>9.9999999999999992E-2</v>
      </c>
    </row>
    <row r="930" spans="1:18" hidden="1">
      <c r="A930" t="s">
        <v>963</v>
      </c>
      <c r="B930" t="s">
        <v>102</v>
      </c>
      <c r="C930" t="str">
        <f t="shared" si="126"/>
        <v>Finance</v>
      </c>
      <c r="D930" t="s">
        <v>27</v>
      </c>
      <c r="E930" t="str">
        <f t="shared" si="127"/>
        <v>Technova</v>
      </c>
      <c r="F930">
        <v>4</v>
      </c>
      <c r="G930">
        <v>45000</v>
      </c>
      <c r="H930" s="1">
        <v>42830</v>
      </c>
      <c r="I930">
        <v>1</v>
      </c>
      <c r="J930" t="s">
        <v>57</v>
      </c>
      <c r="K930">
        <f t="shared" si="128"/>
        <v>2</v>
      </c>
      <c r="L930">
        <f t="shared" si="129"/>
        <v>4.4444444444444447E-5</v>
      </c>
      <c r="M930" t="b">
        <f t="shared" si="130"/>
        <v>0</v>
      </c>
      <c r="N930" t="b">
        <f t="shared" si="131"/>
        <v>0</v>
      </c>
      <c r="O930" t="s">
        <v>835</v>
      </c>
      <c r="P930">
        <f t="shared" si="132"/>
        <v>0.16666666666666666</v>
      </c>
      <c r="Q930">
        <f t="shared" si="133"/>
        <v>0</v>
      </c>
      <c r="R930">
        <f t="shared" si="134"/>
        <v>9.9999999999999992E-2</v>
      </c>
    </row>
    <row r="931" spans="1:18" hidden="1">
      <c r="A931" t="s">
        <v>964</v>
      </c>
      <c r="B931" t="s">
        <v>102</v>
      </c>
      <c r="C931" t="str">
        <f t="shared" si="126"/>
        <v>Finance</v>
      </c>
      <c r="D931" t="s">
        <v>20</v>
      </c>
      <c r="E931" t="str">
        <f t="shared" si="127"/>
        <v>Dataverse</v>
      </c>
      <c r="F931">
        <v>3</v>
      </c>
      <c r="G931">
        <v>45000</v>
      </c>
      <c r="H931" s="1">
        <v>40524</v>
      </c>
      <c r="I931">
        <v>1</v>
      </c>
      <c r="J931" t="s">
        <v>57</v>
      </c>
      <c r="K931">
        <f t="shared" si="128"/>
        <v>2</v>
      </c>
      <c r="L931">
        <f t="shared" si="129"/>
        <v>4.4444444444444447E-5</v>
      </c>
      <c r="M931" t="b">
        <f t="shared" si="130"/>
        <v>0</v>
      </c>
      <c r="N931" t="b">
        <f t="shared" si="131"/>
        <v>0</v>
      </c>
      <c r="O931" t="s">
        <v>835</v>
      </c>
      <c r="P931">
        <f t="shared" si="132"/>
        <v>0.16666666666666666</v>
      </c>
      <c r="Q931">
        <f t="shared" si="133"/>
        <v>0</v>
      </c>
      <c r="R931">
        <f t="shared" si="134"/>
        <v>9.9999999999999992E-2</v>
      </c>
    </row>
    <row r="932" spans="1:18" hidden="1">
      <c r="A932" t="s">
        <v>965</v>
      </c>
      <c r="B932" t="s">
        <v>74</v>
      </c>
      <c r="C932" t="str">
        <f t="shared" si="126"/>
        <v>Human Resources</v>
      </c>
      <c r="D932" t="s">
        <v>20</v>
      </c>
      <c r="E932" t="str">
        <f t="shared" si="127"/>
        <v>Dataverse</v>
      </c>
      <c r="F932">
        <v>12</v>
      </c>
      <c r="G932">
        <v>45000</v>
      </c>
      <c r="H932" s="1">
        <v>44609</v>
      </c>
      <c r="I932">
        <v>1</v>
      </c>
      <c r="J932" t="s">
        <v>57</v>
      </c>
      <c r="K932">
        <f t="shared" si="128"/>
        <v>2</v>
      </c>
      <c r="L932">
        <f t="shared" si="129"/>
        <v>4.4444444444444447E-5</v>
      </c>
      <c r="M932" t="b">
        <f t="shared" si="130"/>
        <v>0</v>
      </c>
      <c r="N932" t="b">
        <f t="shared" si="131"/>
        <v>1</v>
      </c>
      <c r="O932" t="s">
        <v>835</v>
      </c>
      <c r="P932">
        <f t="shared" si="132"/>
        <v>0.16666666666666666</v>
      </c>
      <c r="Q932">
        <f t="shared" si="133"/>
        <v>0</v>
      </c>
      <c r="R932">
        <f t="shared" si="134"/>
        <v>9.9999999999999992E-2</v>
      </c>
    </row>
    <row r="933" spans="1:18" hidden="1">
      <c r="A933" t="s">
        <v>966</v>
      </c>
      <c r="B933" t="s">
        <v>56</v>
      </c>
      <c r="C933" t="str">
        <f t="shared" si="126"/>
        <v>IT &amp; Systems</v>
      </c>
      <c r="D933" t="s">
        <v>27</v>
      </c>
      <c r="E933" t="str">
        <f t="shared" si="127"/>
        <v>Technova</v>
      </c>
      <c r="F933">
        <v>23</v>
      </c>
      <c r="G933">
        <v>45000</v>
      </c>
      <c r="H933" s="1">
        <v>42800</v>
      </c>
      <c r="I933">
        <v>1</v>
      </c>
      <c r="J933" t="s">
        <v>57</v>
      </c>
      <c r="K933">
        <f t="shared" si="128"/>
        <v>2</v>
      </c>
      <c r="L933">
        <f t="shared" si="129"/>
        <v>4.4444444444444447E-5</v>
      </c>
      <c r="M933" t="b">
        <f t="shared" si="130"/>
        <v>1</v>
      </c>
      <c r="N933" t="b">
        <f t="shared" si="131"/>
        <v>1</v>
      </c>
      <c r="O933" t="s">
        <v>835</v>
      </c>
      <c r="P933">
        <f t="shared" si="132"/>
        <v>0.16666666666666666</v>
      </c>
      <c r="Q933">
        <f t="shared" si="133"/>
        <v>0</v>
      </c>
      <c r="R933">
        <f t="shared" si="134"/>
        <v>9.9999999999999992E-2</v>
      </c>
    </row>
    <row r="934" spans="1:18" hidden="1">
      <c r="A934" t="s">
        <v>967</v>
      </c>
      <c r="B934" t="s">
        <v>224</v>
      </c>
      <c r="C934" t="str">
        <f t="shared" si="126"/>
        <v>Business Strategy</v>
      </c>
      <c r="D934" t="s">
        <v>27</v>
      </c>
      <c r="E934" t="str">
        <f t="shared" si="127"/>
        <v>Technova</v>
      </c>
      <c r="F934">
        <v>21</v>
      </c>
      <c r="G934">
        <v>68000</v>
      </c>
      <c r="H934" s="1">
        <v>44727</v>
      </c>
      <c r="I934">
        <v>1</v>
      </c>
      <c r="J934" t="s">
        <v>174</v>
      </c>
      <c r="K934">
        <f t="shared" si="128"/>
        <v>3</v>
      </c>
      <c r="L934">
        <f t="shared" si="129"/>
        <v>4.4117647058823532E-5</v>
      </c>
      <c r="M934" t="b">
        <f t="shared" si="130"/>
        <v>1</v>
      </c>
      <c r="N934" t="b">
        <f t="shared" si="131"/>
        <v>1</v>
      </c>
      <c r="O934" t="s">
        <v>835</v>
      </c>
      <c r="P934">
        <f t="shared" si="132"/>
        <v>0.16176470588235295</v>
      </c>
      <c r="Q934">
        <f t="shared" si="133"/>
        <v>0</v>
      </c>
      <c r="R934">
        <f t="shared" si="134"/>
        <v>9.7058823529411767E-2</v>
      </c>
    </row>
    <row r="935" spans="1:18" hidden="1">
      <c r="A935" t="s">
        <v>968</v>
      </c>
      <c r="B935" t="s">
        <v>70</v>
      </c>
      <c r="C935" t="str">
        <f t="shared" si="126"/>
        <v>Customer Experience</v>
      </c>
      <c r="D935" t="s">
        <v>27</v>
      </c>
      <c r="E935" t="str">
        <f t="shared" si="127"/>
        <v>Technova</v>
      </c>
      <c r="F935">
        <v>17</v>
      </c>
      <c r="G935">
        <v>46000</v>
      </c>
      <c r="H935" s="1">
        <v>45329</v>
      </c>
      <c r="I935">
        <v>1</v>
      </c>
      <c r="J935" t="s">
        <v>57</v>
      </c>
      <c r="K935">
        <f t="shared" si="128"/>
        <v>2</v>
      </c>
      <c r="L935">
        <f t="shared" si="129"/>
        <v>4.347826086956522E-5</v>
      </c>
      <c r="M935" t="b">
        <f t="shared" si="130"/>
        <v>1</v>
      </c>
      <c r="N935" t="b">
        <f t="shared" si="131"/>
        <v>1</v>
      </c>
      <c r="O935" t="s">
        <v>835</v>
      </c>
      <c r="P935">
        <f t="shared" si="132"/>
        <v>0.15217391304347827</v>
      </c>
      <c r="Q935">
        <f t="shared" si="133"/>
        <v>0</v>
      </c>
      <c r="R935">
        <f t="shared" si="134"/>
        <v>9.1304347826086957E-2</v>
      </c>
    </row>
    <row r="936" spans="1:18" hidden="1">
      <c r="A936" t="s">
        <v>969</v>
      </c>
      <c r="B936" t="s">
        <v>102</v>
      </c>
      <c r="C936" t="str">
        <f t="shared" si="126"/>
        <v>Finance</v>
      </c>
      <c r="D936" t="s">
        <v>20</v>
      </c>
      <c r="E936" t="str">
        <f t="shared" si="127"/>
        <v>Dataverse</v>
      </c>
      <c r="F936">
        <v>10</v>
      </c>
      <c r="G936">
        <v>46000</v>
      </c>
      <c r="H936" s="1">
        <v>41925</v>
      </c>
      <c r="I936">
        <v>1</v>
      </c>
      <c r="J936" t="s">
        <v>57</v>
      </c>
      <c r="K936">
        <f t="shared" si="128"/>
        <v>2</v>
      </c>
      <c r="L936">
        <f t="shared" si="129"/>
        <v>4.347826086956522E-5</v>
      </c>
      <c r="M936" t="b">
        <f t="shared" si="130"/>
        <v>0</v>
      </c>
      <c r="N936" t="b">
        <f t="shared" si="131"/>
        <v>1</v>
      </c>
      <c r="O936" t="s">
        <v>835</v>
      </c>
      <c r="P936">
        <f t="shared" si="132"/>
        <v>0.15217391304347827</v>
      </c>
      <c r="Q936">
        <f t="shared" si="133"/>
        <v>0</v>
      </c>
      <c r="R936">
        <f t="shared" si="134"/>
        <v>9.1304347826086957E-2</v>
      </c>
    </row>
    <row r="937" spans="1:18" hidden="1">
      <c r="A937" t="s">
        <v>970</v>
      </c>
      <c r="B937" t="s">
        <v>74</v>
      </c>
      <c r="C937" t="str">
        <f t="shared" si="126"/>
        <v>Human Resources</v>
      </c>
      <c r="D937" t="s">
        <v>27</v>
      </c>
      <c r="E937" t="str">
        <f t="shared" si="127"/>
        <v>Technova</v>
      </c>
      <c r="F937">
        <v>13</v>
      </c>
      <c r="G937">
        <v>46000</v>
      </c>
      <c r="H937" s="1">
        <v>38291</v>
      </c>
      <c r="I937">
        <v>1</v>
      </c>
      <c r="J937" t="s">
        <v>57</v>
      </c>
      <c r="K937">
        <f t="shared" si="128"/>
        <v>2</v>
      </c>
      <c r="L937">
        <f t="shared" si="129"/>
        <v>4.347826086956522E-5</v>
      </c>
      <c r="M937" t="b">
        <f t="shared" si="130"/>
        <v>0</v>
      </c>
      <c r="N937" t="b">
        <f t="shared" si="131"/>
        <v>1</v>
      </c>
      <c r="O937" t="s">
        <v>835</v>
      </c>
      <c r="P937">
        <f t="shared" si="132"/>
        <v>0.15217391304347827</v>
      </c>
      <c r="Q937">
        <f t="shared" si="133"/>
        <v>0</v>
      </c>
      <c r="R937">
        <f t="shared" si="134"/>
        <v>9.1304347826086957E-2</v>
      </c>
    </row>
    <row r="938" spans="1:18" hidden="1">
      <c r="A938" t="s">
        <v>971</v>
      </c>
      <c r="B938" t="s">
        <v>19</v>
      </c>
      <c r="C938" t="str">
        <f t="shared" si="126"/>
        <v>Research &amp; Department</v>
      </c>
      <c r="D938" t="s">
        <v>27</v>
      </c>
      <c r="E938" t="str">
        <f t="shared" si="127"/>
        <v>Technova</v>
      </c>
      <c r="F938">
        <v>10</v>
      </c>
      <c r="G938">
        <v>23000</v>
      </c>
      <c r="H938" s="1">
        <v>43512</v>
      </c>
      <c r="I938">
        <v>1</v>
      </c>
      <c r="J938" t="s">
        <v>21</v>
      </c>
      <c r="K938">
        <f t="shared" si="128"/>
        <v>1</v>
      </c>
      <c r="L938">
        <f t="shared" si="129"/>
        <v>4.347826086956522E-5</v>
      </c>
      <c r="M938" t="b">
        <f t="shared" si="130"/>
        <v>0</v>
      </c>
      <c r="N938" t="b">
        <f t="shared" si="131"/>
        <v>1</v>
      </c>
      <c r="O938" t="s">
        <v>835</v>
      </c>
      <c r="P938">
        <f t="shared" si="132"/>
        <v>0.15217391304347827</v>
      </c>
      <c r="Q938">
        <f t="shared" si="133"/>
        <v>0</v>
      </c>
      <c r="R938">
        <f t="shared" si="134"/>
        <v>9.1304347826086957E-2</v>
      </c>
    </row>
    <row r="939" spans="1:18" hidden="1">
      <c r="A939" t="s">
        <v>972</v>
      </c>
      <c r="B939" t="s">
        <v>25</v>
      </c>
      <c r="C939" t="str">
        <f t="shared" si="126"/>
        <v>Sales &amp; Marketing</v>
      </c>
      <c r="D939" t="s">
        <v>20</v>
      </c>
      <c r="E939" t="str">
        <f t="shared" si="127"/>
        <v>Dataverse</v>
      </c>
      <c r="F939">
        <v>12</v>
      </c>
      <c r="G939">
        <v>23000</v>
      </c>
      <c r="H939" s="1">
        <v>40900</v>
      </c>
      <c r="I939">
        <v>1</v>
      </c>
      <c r="J939" t="s">
        <v>21</v>
      </c>
      <c r="K939">
        <f t="shared" si="128"/>
        <v>1</v>
      </c>
      <c r="L939">
        <f t="shared" si="129"/>
        <v>4.347826086956522E-5</v>
      </c>
      <c r="M939" t="b">
        <f t="shared" si="130"/>
        <v>0</v>
      </c>
      <c r="N939" t="b">
        <f t="shared" si="131"/>
        <v>1</v>
      </c>
      <c r="O939" t="s">
        <v>835</v>
      </c>
      <c r="P939">
        <f t="shared" si="132"/>
        <v>0.15217391304347827</v>
      </c>
      <c r="Q939">
        <f t="shared" si="133"/>
        <v>0</v>
      </c>
      <c r="R939">
        <f t="shared" si="134"/>
        <v>9.1304347826086957E-2</v>
      </c>
    </row>
    <row r="940" spans="1:18" hidden="1">
      <c r="A940" t="s">
        <v>973</v>
      </c>
      <c r="B940" t="s">
        <v>25</v>
      </c>
      <c r="C940" t="str">
        <f t="shared" si="126"/>
        <v>Sales &amp; Marketing</v>
      </c>
      <c r="D940" t="s">
        <v>27</v>
      </c>
      <c r="E940" t="str">
        <f t="shared" si="127"/>
        <v>Technova</v>
      </c>
      <c r="F940">
        <v>13</v>
      </c>
      <c r="G940">
        <v>23000</v>
      </c>
      <c r="H940" s="1">
        <v>39873</v>
      </c>
      <c r="I940">
        <v>1</v>
      </c>
      <c r="J940" t="s">
        <v>21</v>
      </c>
      <c r="K940">
        <f t="shared" si="128"/>
        <v>1</v>
      </c>
      <c r="L940">
        <f t="shared" si="129"/>
        <v>4.347826086956522E-5</v>
      </c>
      <c r="M940" t="b">
        <f t="shared" si="130"/>
        <v>0</v>
      </c>
      <c r="N940" t="b">
        <f t="shared" si="131"/>
        <v>1</v>
      </c>
      <c r="O940" t="s">
        <v>835</v>
      </c>
      <c r="P940">
        <f t="shared" si="132"/>
        <v>0.15217391304347827</v>
      </c>
      <c r="Q940">
        <f t="shared" si="133"/>
        <v>0</v>
      </c>
      <c r="R940">
        <f t="shared" si="134"/>
        <v>9.1304347826086957E-2</v>
      </c>
    </row>
    <row r="941" spans="1:18" hidden="1">
      <c r="A941" t="s">
        <v>974</v>
      </c>
      <c r="B941" t="s">
        <v>70</v>
      </c>
      <c r="C941" t="str">
        <f t="shared" si="126"/>
        <v>Customer Experience</v>
      </c>
      <c r="D941" t="s">
        <v>27</v>
      </c>
      <c r="E941" t="str">
        <f t="shared" si="127"/>
        <v>Technova</v>
      </c>
      <c r="F941">
        <v>24</v>
      </c>
      <c r="G941">
        <v>69000</v>
      </c>
      <c r="H941" s="1">
        <v>43489</v>
      </c>
      <c r="I941">
        <v>1</v>
      </c>
      <c r="J941" t="s">
        <v>174</v>
      </c>
      <c r="K941">
        <f t="shared" si="128"/>
        <v>3</v>
      </c>
      <c r="L941">
        <f t="shared" si="129"/>
        <v>4.347826086956522E-5</v>
      </c>
      <c r="M941" t="b">
        <f t="shared" si="130"/>
        <v>1</v>
      </c>
      <c r="N941" t="b">
        <f t="shared" si="131"/>
        <v>1</v>
      </c>
      <c r="O941" t="s">
        <v>835</v>
      </c>
      <c r="P941">
        <f t="shared" si="132"/>
        <v>0.15217391304347827</v>
      </c>
      <c r="Q941">
        <f t="shared" si="133"/>
        <v>0</v>
      </c>
      <c r="R941">
        <f t="shared" si="134"/>
        <v>9.1304347826086957E-2</v>
      </c>
    </row>
    <row r="942" spans="1:18" hidden="1">
      <c r="A942" t="s">
        <v>975</v>
      </c>
      <c r="B942" t="s">
        <v>70</v>
      </c>
      <c r="C942" t="str">
        <f t="shared" si="126"/>
        <v>Customer Experience</v>
      </c>
      <c r="D942" t="s">
        <v>20</v>
      </c>
      <c r="E942" t="str">
        <f t="shared" si="127"/>
        <v>Dataverse</v>
      </c>
      <c r="F942">
        <v>19</v>
      </c>
      <c r="G942">
        <v>70000</v>
      </c>
      <c r="H942" s="1">
        <v>43938</v>
      </c>
      <c r="I942">
        <v>1</v>
      </c>
      <c r="J942" t="s">
        <v>174</v>
      </c>
      <c r="K942">
        <f t="shared" si="128"/>
        <v>3</v>
      </c>
      <c r="L942">
        <f t="shared" si="129"/>
        <v>4.2857142857142856E-5</v>
      </c>
      <c r="M942" t="b">
        <f t="shared" si="130"/>
        <v>1</v>
      </c>
      <c r="N942" t="b">
        <f t="shared" si="131"/>
        <v>1</v>
      </c>
      <c r="O942" t="s">
        <v>835</v>
      </c>
      <c r="P942">
        <f t="shared" si="132"/>
        <v>0.14285714285714282</v>
      </c>
      <c r="Q942">
        <f t="shared" si="133"/>
        <v>0</v>
      </c>
      <c r="R942">
        <f t="shared" si="134"/>
        <v>8.5714285714285687E-2</v>
      </c>
    </row>
    <row r="943" spans="1:18" hidden="1">
      <c r="A943" t="s">
        <v>976</v>
      </c>
      <c r="B943" t="s">
        <v>70</v>
      </c>
      <c r="C943" t="str">
        <f t="shared" si="126"/>
        <v>Customer Experience</v>
      </c>
      <c r="D943" t="s">
        <v>20</v>
      </c>
      <c r="E943" t="str">
        <f t="shared" si="127"/>
        <v>Dataverse</v>
      </c>
      <c r="F943">
        <v>20</v>
      </c>
      <c r="G943">
        <v>47000</v>
      </c>
      <c r="H943" s="1">
        <v>39390</v>
      </c>
      <c r="I943">
        <v>1</v>
      </c>
      <c r="J943" t="s">
        <v>57</v>
      </c>
      <c r="K943">
        <f t="shared" si="128"/>
        <v>2</v>
      </c>
      <c r="L943">
        <f t="shared" si="129"/>
        <v>4.2553191489361704E-5</v>
      </c>
      <c r="M943" t="b">
        <f t="shared" si="130"/>
        <v>1</v>
      </c>
      <c r="N943" t="b">
        <f t="shared" si="131"/>
        <v>1</v>
      </c>
      <c r="O943" t="s">
        <v>835</v>
      </c>
      <c r="P943">
        <f t="shared" si="132"/>
        <v>0.13829787234042554</v>
      </c>
      <c r="Q943">
        <f t="shared" si="133"/>
        <v>0</v>
      </c>
      <c r="R943">
        <f t="shared" si="134"/>
        <v>8.2978723404255314E-2</v>
      </c>
    </row>
    <row r="944" spans="1:18" hidden="1">
      <c r="A944" t="s">
        <v>977</v>
      </c>
      <c r="B944" t="s">
        <v>60</v>
      </c>
      <c r="C944" t="str">
        <f t="shared" si="126"/>
        <v>Manufacturing and operations</v>
      </c>
      <c r="D944" t="s">
        <v>20</v>
      </c>
      <c r="E944" t="str">
        <f t="shared" si="127"/>
        <v>Dataverse</v>
      </c>
      <c r="F944">
        <v>6</v>
      </c>
      <c r="G944">
        <v>47000</v>
      </c>
      <c r="H944" s="1">
        <v>41466</v>
      </c>
      <c r="I944">
        <v>1</v>
      </c>
      <c r="J944" t="s">
        <v>57</v>
      </c>
      <c r="K944">
        <f t="shared" si="128"/>
        <v>2</v>
      </c>
      <c r="L944">
        <f t="shared" si="129"/>
        <v>4.2553191489361704E-5</v>
      </c>
      <c r="M944" t="b">
        <f t="shared" si="130"/>
        <v>0</v>
      </c>
      <c r="N944" t="b">
        <f t="shared" si="131"/>
        <v>1</v>
      </c>
      <c r="O944" t="s">
        <v>835</v>
      </c>
      <c r="P944">
        <f t="shared" si="132"/>
        <v>0.13829787234042554</v>
      </c>
      <c r="Q944">
        <f t="shared" si="133"/>
        <v>0</v>
      </c>
      <c r="R944">
        <f t="shared" si="134"/>
        <v>8.2978723404255314E-2</v>
      </c>
    </row>
    <row r="945" spans="1:18" hidden="1">
      <c r="A945" t="s">
        <v>978</v>
      </c>
      <c r="B945" t="s">
        <v>67</v>
      </c>
      <c r="C945" t="str">
        <f t="shared" si="126"/>
        <v>Quality Assurance</v>
      </c>
      <c r="D945" t="s">
        <v>27</v>
      </c>
      <c r="E945" t="str">
        <f t="shared" si="127"/>
        <v>Technova</v>
      </c>
      <c r="F945">
        <v>10</v>
      </c>
      <c r="G945">
        <v>47000</v>
      </c>
      <c r="H945" s="1">
        <v>42206</v>
      </c>
      <c r="I945">
        <v>1</v>
      </c>
      <c r="J945" t="s">
        <v>57</v>
      </c>
      <c r="K945">
        <f t="shared" si="128"/>
        <v>2</v>
      </c>
      <c r="L945">
        <f t="shared" si="129"/>
        <v>4.2553191489361704E-5</v>
      </c>
      <c r="M945" t="b">
        <f t="shared" si="130"/>
        <v>0</v>
      </c>
      <c r="N945" t="b">
        <f t="shared" si="131"/>
        <v>1</v>
      </c>
      <c r="O945" t="s">
        <v>835</v>
      </c>
      <c r="P945">
        <f t="shared" si="132"/>
        <v>0.13829787234042554</v>
      </c>
      <c r="Q945">
        <f t="shared" si="133"/>
        <v>0</v>
      </c>
      <c r="R945">
        <f t="shared" si="134"/>
        <v>8.2978723404255314E-2</v>
      </c>
    </row>
    <row r="946" spans="1:18" hidden="1">
      <c r="A946" t="s">
        <v>979</v>
      </c>
      <c r="B946" t="s">
        <v>67</v>
      </c>
      <c r="C946" t="str">
        <f t="shared" si="126"/>
        <v>Quality Assurance</v>
      </c>
      <c r="D946" t="s">
        <v>20</v>
      </c>
      <c r="E946" t="str">
        <f t="shared" si="127"/>
        <v>Dataverse</v>
      </c>
      <c r="F946">
        <v>14</v>
      </c>
      <c r="G946">
        <v>47000</v>
      </c>
      <c r="H946" s="1">
        <v>43510</v>
      </c>
      <c r="I946">
        <v>1</v>
      </c>
      <c r="J946" t="s">
        <v>57</v>
      </c>
      <c r="K946">
        <f t="shared" si="128"/>
        <v>2</v>
      </c>
      <c r="L946">
        <f t="shared" si="129"/>
        <v>4.2553191489361704E-5</v>
      </c>
      <c r="M946" t="b">
        <f t="shared" si="130"/>
        <v>0</v>
      </c>
      <c r="N946" t="b">
        <f t="shared" si="131"/>
        <v>1</v>
      </c>
      <c r="O946" t="s">
        <v>835</v>
      </c>
      <c r="P946">
        <f t="shared" si="132"/>
        <v>0.13829787234042554</v>
      </c>
      <c r="Q946">
        <f t="shared" si="133"/>
        <v>0</v>
      </c>
      <c r="R946">
        <f t="shared" si="134"/>
        <v>8.2978723404255314E-2</v>
      </c>
    </row>
    <row r="947" spans="1:18" hidden="1">
      <c r="A947" t="s">
        <v>980</v>
      </c>
      <c r="B947" t="s">
        <v>70</v>
      </c>
      <c r="C947" t="str">
        <f t="shared" si="126"/>
        <v>Customer Experience</v>
      </c>
      <c r="D947" t="s">
        <v>20</v>
      </c>
      <c r="E947" t="str">
        <f t="shared" si="127"/>
        <v>Dataverse</v>
      </c>
      <c r="F947">
        <v>4</v>
      </c>
      <c r="G947">
        <v>71000</v>
      </c>
      <c r="H947" s="1">
        <v>45051</v>
      </c>
      <c r="I947">
        <v>1</v>
      </c>
      <c r="J947" t="s">
        <v>174</v>
      </c>
      <c r="K947">
        <f t="shared" si="128"/>
        <v>3</v>
      </c>
      <c r="L947">
        <f t="shared" si="129"/>
        <v>4.2253521126760563E-5</v>
      </c>
      <c r="M947" t="b">
        <f t="shared" si="130"/>
        <v>0</v>
      </c>
      <c r="N947" t="b">
        <f t="shared" si="131"/>
        <v>0</v>
      </c>
      <c r="O947" t="s">
        <v>835</v>
      </c>
      <c r="P947">
        <f t="shared" si="132"/>
        <v>0.13380281690140841</v>
      </c>
      <c r="Q947">
        <f t="shared" si="133"/>
        <v>0</v>
      </c>
      <c r="R947">
        <f t="shared" si="134"/>
        <v>8.0281690140845047E-2</v>
      </c>
    </row>
    <row r="948" spans="1:18" hidden="1">
      <c r="A948" t="s">
        <v>981</v>
      </c>
      <c r="B948" t="s">
        <v>19</v>
      </c>
      <c r="C948" t="str">
        <f t="shared" si="126"/>
        <v>Research &amp; Department</v>
      </c>
      <c r="D948" t="s">
        <v>27</v>
      </c>
      <c r="E948" t="str">
        <f t="shared" si="127"/>
        <v>Technova</v>
      </c>
      <c r="F948">
        <v>15</v>
      </c>
      <c r="G948">
        <v>24000</v>
      </c>
      <c r="H948" s="1">
        <v>41253</v>
      </c>
      <c r="I948">
        <v>1</v>
      </c>
      <c r="J948" t="s">
        <v>21</v>
      </c>
      <c r="K948">
        <f t="shared" si="128"/>
        <v>1</v>
      </c>
      <c r="L948">
        <f t="shared" si="129"/>
        <v>4.1666666666666665E-5</v>
      </c>
      <c r="M948" t="b">
        <f t="shared" si="130"/>
        <v>0</v>
      </c>
      <c r="N948" t="b">
        <f t="shared" si="131"/>
        <v>1</v>
      </c>
      <c r="O948" t="s">
        <v>835</v>
      </c>
      <c r="P948">
        <f t="shared" si="132"/>
        <v>0.12499999999999994</v>
      </c>
      <c r="Q948">
        <f t="shared" si="133"/>
        <v>0</v>
      </c>
      <c r="R948">
        <f t="shared" si="134"/>
        <v>7.4999999999999969E-2</v>
      </c>
    </row>
    <row r="949" spans="1:18" hidden="1">
      <c r="A949" t="s">
        <v>982</v>
      </c>
      <c r="B949" t="s">
        <v>70</v>
      </c>
      <c r="C949" t="str">
        <f t="shared" si="126"/>
        <v>Customer Experience</v>
      </c>
      <c r="D949" t="s">
        <v>20</v>
      </c>
      <c r="E949" t="str">
        <f t="shared" si="127"/>
        <v>Dataverse</v>
      </c>
      <c r="F949">
        <v>1</v>
      </c>
      <c r="G949">
        <v>48000</v>
      </c>
      <c r="H949" s="1">
        <v>39539</v>
      </c>
      <c r="I949">
        <v>1</v>
      </c>
      <c r="J949" t="s">
        <v>57</v>
      </c>
      <c r="K949">
        <f t="shared" si="128"/>
        <v>2</v>
      </c>
      <c r="L949">
        <f t="shared" si="129"/>
        <v>4.1666666666666665E-5</v>
      </c>
      <c r="M949" t="b">
        <f t="shared" si="130"/>
        <v>0</v>
      </c>
      <c r="N949" t="b">
        <f t="shared" si="131"/>
        <v>0</v>
      </c>
      <c r="O949" t="s">
        <v>835</v>
      </c>
      <c r="P949">
        <f t="shared" si="132"/>
        <v>0.12499999999999994</v>
      </c>
      <c r="Q949">
        <f t="shared" si="133"/>
        <v>0</v>
      </c>
      <c r="R949">
        <f t="shared" si="134"/>
        <v>7.4999999999999969E-2</v>
      </c>
    </row>
    <row r="950" spans="1:18" hidden="1">
      <c r="A950" t="s">
        <v>983</v>
      </c>
      <c r="B950" t="s">
        <v>102</v>
      </c>
      <c r="C950" t="str">
        <f t="shared" si="126"/>
        <v>Finance</v>
      </c>
      <c r="D950" t="s">
        <v>20</v>
      </c>
      <c r="E950" t="str">
        <f t="shared" si="127"/>
        <v>Dataverse</v>
      </c>
      <c r="F950">
        <v>16</v>
      </c>
      <c r="G950">
        <v>48000</v>
      </c>
      <c r="H950" s="1">
        <v>40335</v>
      </c>
      <c r="I950">
        <v>1</v>
      </c>
      <c r="J950" t="s">
        <v>57</v>
      </c>
      <c r="K950">
        <f t="shared" si="128"/>
        <v>2</v>
      </c>
      <c r="L950">
        <f t="shared" si="129"/>
        <v>4.1666666666666665E-5</v>
      </c>
      <c r="M950" t="b">
        <f t="shared" si="130"/>
        <v>1</v>
      </c>
      <c r="N950" t="b">
        <f t="shared" si="131"/>
        <v>1</v>
      </c>
      <c r="O950" t="s">
        <v>835</v>
      </c>
      <c r="P950">
        <f t="shared" si="132"/>
        <v>0.12499999999999994</v>
      </c>
      <c r="Q950">
        <f t="shared" si="133"/>
        <v>0</v>
      </c>
      <c r="R950">
        <f t="shared" si="134"/>
        <v>7.4999999999999969E-2</v>
      </c>
    </row>
    <row r="951" spans="1:18" hidden="1">
      <c r="A951" t="s">
        <v>984</v>
      </c>
      <c r="B951" t="s">
        <v>102</v>
      </c>
      <c r="C951" t="str">
        <f t="shared" si="126"/>
        <v>Finance</v>
      </c>
      <c r="D951" t="s">
        <v>20</v>
      </c>
      <c r="E951" t="str">
        <f t="shared" si="127"/>
        <v>Dataverse</v>
      </c>
      <c r="F951">
        <v>20</v>
      </c>
      <c r="G951">
        <v>48000</v>
      </c>
      <c r="H951" s="1">
        <v>41847</v>
      </c>
      <c r="I951">
        <v>1</v>
      </c>
      <c r="J951" t="s">
        <v>57</v>
      </c>
      <c r="K951">
        <f t="shared" si="128"/>
        <v>2</v>
      </c>
      <c r="L951">
        <f t="shared" si="129"/>
        <v>4.1666666666666665E-5</v>
      </c>
      <c r="M951" t="b">
        <f t="shared" si="130"/>
        <v>1</v>
      </c>
      <c r="N951" t="b">
        <f t="shared" si="131"/>
        <v>1</v>
      </c>
      <c r="O951" t="s">
        <v>835</v>
      </c>
      <c r="P951">
        <f t="shared" si="132"/>
        <v>0.12499999999999994</v>
      </c>
      <c r="Q951">
        <f t="shared" si="133"/>
        <v>0</v>
      </c>
      <c r="R951">
        <f t="shared" si="134"/>
        <v>7.4999999999999969E-2</v>
      </c>
    </row>
    <row r="952" spans="1:18" hidden="1">
      <c r="A952" t="s">
        <v>985</v>
      </c>
      <c r="B952" t="s">
        <v>224</v>
      </c>
      <c r="C952" t="str">
        <f t="shared" si="126"/>
        <v>Business Strategy</v>
      </c>
      <c r="D952" t="s">
        <v>27</v>
      </c>
      <c r="E952" t="str">
        <f t="shared" si="127"/>
        <v>Technova</v>
      </c>
      <c r="F952">
        <v>13</v>
      </c>
      <c r="G952">
        <v>72000</v>
      </c>
      <c r="H952" s="1">
        <v>40663</v>
      </c>
      <c r="I952">
        <v>1</v>
      </c>
      <c r="J952" t="s">
        <v>174</v>
      </c>
      <c r="K952">
        <f t="shared" si="128"/>
        <v>3</v>
      </c>
      <c r="L952">
        <f t="shared" si="129"/>
        <v>4.1666666666666665E-5</v>
      </c>
      <c r="M952" t="b">
        <f t="shared" si="130"/>
        <v>0</v>
      </c>
      <c r="N952" t="b">
        <f t="shared" si="131"/>
        <v>1</v>
      </c>
      <c r="O952" t="s">
        <v>835</v>
      </c>
      <c r="P952">
        <f t="shared" si="132"/>
        <v>0.12499999999999994</v>
      </c>
      <c r="Q952">
        <f t="shared" si="133"/>
        <v>0</v>
      </c>
      <c r="R952">
        <f t="shared" si="134"/>
        <v>7.4999999999999969E-2</v>
      </c>
    </row>
    <row r="953" spans="1:18" hidden="1">
      <c r="A953" t="s">
        <v>986</v>
      </c>
      <c r="B953" t="s">
        <v>224</v>
      </c>
      <c r="C953" t="str">
        <f t="shared" si="126"/>
        <v>Business Strategy</v>
      </c>
      <c r="D953" t="s">
        <v>20</v>
      </c>
      <c r="E953" t="str">
        <f t="shared" si="127"/>
        <v>Dataverse</v>
      </c>
      <c r="F953">
        <v>4</v>
      </c>
      <c r="G953">
        <v>72000</v>
      </c>
      <c r="H953" s="1">
        <v>40940</v>
      </c>
      <c r="I953">
        <v>1</v>
      </c>
      <c r="J953" t="s">
        <v>174</v>
      </c>
      <c r="K953">
        <f t="shared" si="128"/>
        <v>3</v>
      </c>
      <c r="L953">
        <f t="shared" si="129"/>
        <v>4.1666666666666665E-5</v>
      </c>
      <c r="M953" t="b">
        <f t="shared" si="130"/>
        <v>0</v>
      </c>
      <c r="N953" t="b">
        <f t="shared" si="131"/>
        <v>0</v>
      </c>
      <c r="O953" t="s">
        <v>835</v>
      </c>
      <c r="P953">
        <f t="shared" si="132"/>
        <v>0.12499999999999994</v>
      </c>
      <c r="Q953">
        <f t="shared" si="133"/>
        <v>0</v>
      </c>
      <c r="R953">
        <f t="shared" si="134"/>
        <v>7.4999999999999969E-2</v>
      </c>
    </row>
    <row r="954" spans="1:18" hidden="1">
      <c r="A954" t="s">
        <v>987</v>
      </c>
      <c r="B954" t="s">
        <v>19</v>
      </c>
      <c r="C954" t="str">
        <f t="shared" si="126"/>
        <v>Research &amp; Department</v>
      </c>
      <c r="D954" t="s">
        <v>20</v>
      </c>
      <c r="E954" t="str">
        <f t="shared" si="127"/>
        <v>Dataverse</v>
      </c>
      <c r="F954">
        <v>6</v>
      </c>
      <c r="G954">
        <v>24000</v>
      </c>
      <c r="H954" s="1">
        <v>41930</v>
      </c>
      <c r="I954">
        <v>1</v>
      </c>
      <c r="J954" t="s">
        <v>21</v>
      </c>
      <c r="K954">
        <f t="shared" si="128"/>
        <v>1</v>
      </c>
      <c r="L954">
        <f t="shared" si="129"/>
        <v>4.1666666666666665E-5</v>
      </c>
      <c r="M954" t="b">
        <f t="shared" si="130"/>
        <v>0</v>
      </c>
      <c r="N954" t="b">
        <f t="shared" si="131"/>
        <v>1</v>
      </c>
      <c r="O954" t="s">
        <v>835</v>
      </c>
      <c r="P954">
        <f t="shared" si="132"/>
        <v>0.12499999999999994</v>
      </c>
      <c r="Q954">
        <f t="shared" si="133"/>
        <v>0</v>
      </c>
      <c r="R954">
        <f t="shared" si="134"/>
        <v>7.4999999999999969E-2</v>
      </c>
    </row>
    <row r="955" spans="1:18" hidden="1">
      <c r="A955" t="s">
        <v>988</v>
      </c>
      <c r="B955" t="s">
        <v>224</v>
      </c>
      <c r="C955" t="str">
        <f t="shared" si="126"/>
        <v>Business Strategy</v>
      </c>
      <c r="D955" t="s">
        <v>27</v>
      </c>
      <c r="E955" t="str">
        <f t="shared" si="127"/>
        <v>Technova</v>
      </c>
      <c r="F955">
        <v>23</v>
      </c>
      <c r="G955">
        <v>72000</v>
      </c>
      <c r="H955" s="1">
        <v>40979</v>
      </c>
      <c r="I955">
        <v>1</v>
      </c>
      <c r="J955" t="s">
        <v>174</v>
      </c>
      <c r="K955">
        <f t="shared" si="128"/>
        <v>3</v>
      </c>
      <c r="L955">
        <f t="shared" si="129"/>
        <v>4.1666666666666665E-5</v>
      </c>
      <c r="M955" t="b">
        <f t="shared" si="130"/>
        <v>1</v>
      </c>
      <c r="N955" t="b">
        <f t="shared" si="131"/>
        <v>1</v>
      </c>
      <c r="O955" t="s">
        <v>835</v>
      </c>
      <c r="P955">
        <f t="shared" si="132"/>
        <v>0.12499999999999994</v>
      </c>
      <c r="Q955">
        <f t="shared" si="133"/>
        <v>0</v>
      </c>
      <c r="R955">
        <f t="shared" si="134"/>
        <v>7.4999999999999969E-2</v>
      </c>
    </row>
    <row r="956" spans="1:18" hidden="1">
      <c r="A956" t="s">
        <v>989</v>
      </c>
      <c r="B956" t="s">
        <v>25</v>
      </c>
      <c r="C956" t="str">
        <f t="shared" si="126"/>
        <v>Sales &amp; Marketing</v>
      </c>
      <c r="D956" t="s">
        <v>27</v>
      </c>
      <c r="E956" t="str">
        <f t="shared" si="127"/>
        <v>Technova</v>
      </c>
      <c r="F956">
        <v>13</v>
      </c>
      <c r="G956">
        <v>24000</v>
      </c>
      <c r="H956" s="1">
        <v>43095</v>
      </c>
      <c r="I956">
        <v>1</v>
      </c>
      <c r="J956" t="s">
        <v>21</v>
      </c>
      <c r="K956">
        <f t="shared" si="128"/>
        <v>1</v>
      </c>
      <c r="L956">
        <f t="shared" si="129"/>
        <v>4.1666666666666665E-5</v>
      </c>
      <c r="M956" t="b">
        <f t="shared" si="130"/>
        <v>0</v>
      </c>
      <c r="N956" t="b">
        <f t="shared" si="131"/>
        <v>1</v>
      </c>
      <c r="O956" t="s">
        <v>835</v>
      </c>
      <c r="P956">
        <f t="shared" si="132"/>
        <v>0.12499999999999994</v>
      </c>
      <c r="Q956">
        <f t="shared" si="133"/>
        <v>0</v>
      </c>
      <c r="R956">
        <f t="shared" si="134"/>
        <v>7.4999999999999969E-2</v>
      </c>
    </row>
    <row r="957" spans="1:18" hidden="1">
      <c r="A957" t="s">
        <v>990</v>
      </c>
      <c r="B957" t="s">
        <v>70</v>
      </c>
      <c r="C957" t="str">
        <f t="shared" si="126"/>
        <v>Customer Experience</v>
      </c>
      <c r="D957" t="s">
        <v>20</v>
      </c>
      <c r="E957" t="str">
        <f t="shared" si="127"/>
        <v>Dataverse</v>
      </c>
      <c r="F957">
        <v>23</v>
      </c>
      <c r="G957">
        <v>73000</v>
      </c>
      <c r="H957" s="1">
        <v>45311</v>
      </c>
      <c r="I957">
        <v>1</v>
      </c>
      <c r="J957" t="s">
        <v>174</v>
      </c>
      <c r="K957">
        <f t="shared" si="128"/>
        <v>3</v>
      </c>
      <c r="L957">
        <f t="shared" si="129"/>
        <v>4.1095890410958905E-5</v>
      </c>
      <c r="M957" t="b">
        <f t="shared" si="130"/>
        <v>1</v>
      </c>
      <c r="N957" t="b">
        <f t="shared" si="131"/>
        <v>1</v>
      </c>
      <c r="O957" t="s">
        <v>835</v>
      </c>
      <c r="P957">
        <f t="shared" si="132"/>
        <v>0.11643835616438356</v>
      </c>
      <c r="Q957">
        <f t="shared" si="133"/>
        <v>0</v>
      </c>
      <c r="R957">
        <f t="shared" si="134"/>
        <v>6.9863013698630128E-2</v>
      </c>
    </row>
    <row r="958" spans="1:18" hidden="1">
      <c r="A958" t="s">
        <v>991</v>
      </c>
      <c r="B958" t="s">
        <v>70</v>
      </c>
      <c r="C958" t="str">
        <f t="shared" si="126"/>
        <v>Customer Experience</v>
      </c>
      <c r="D958" t="s">
        <v>20</v>
      </c>
      <c r="E958" t="str">
        <f t="shared" si="127"/>
        <v>Dataverse</v>
      </c>
      <c r="F958">
        <v>12</v>
      </c>
      <c r="G958">
        <v>49000</v>
      </c>
      <c r="H958" s="1">
        <v>40057</v>
      </c>
      <c r="I958">
        <v>1</v>
      </c>
      <c r="J958" t="s">
        <v>57</v>
      </c>
      <c r="K958">
        <f t="shared" si="128"/>
        <v>2</v>
      </c>
      <c r="L958">
        <f t="shared" si="129"/>
        <v>4.0816326530612245E-5</v>
      </c>
      <c r="M958" t="b">
        <f t="shared" si="130"/>
        <v>0</v>
      </c>
      <c r="N958" t="b">
        <f t="shared" si="131"/>
        <v>1</v>
      </c>
      <c r="O958" t="s">
        <v>835</v>
      </c>
      <c r="P958">
        <f t="shared" si="132"/>
        <v>0.11224489795918365</v>
      </c>
      <c r="Q958">
        <f t="shared" si="133"/>
        <v>0</v>
      </c>
      <c r="R958">
        <f t="shared" si="134"/>
        <v>6.7346938775510179E-2</v>
      </c>
    </row>
    <row r="959" spans="1:18" hidden="1">
      <c r="A959" t="s">
        <v>992</v>
      </c>
      <c r="B959" t="s">
        <v>102</v>
      </c>
      <c r="C959" t="str">
        <f t="shared" si="126"/>
        <v>Finance</v>
      </c>
      <c r="D959" t="s">
        <v>27</v>
      </c>
      <c r="E959" t="str">
        <f t="shared" si="127"/>
        <v>Technova</v>
      </c>
      <c r="F959">
        <v>25</v>
      </c>
      <c r="G959">
        <v>49000</v>
      </c>
      <c r="H959" s="1">
        <v>42844</v>
      </c>
      <c r="I959">
        <v>1</v>
      </c>
      <c r="J959" t="s">
        <v>57</v>
      </c>
      <c r="K959">
        <f t="shared" si="128"/>
        <v>2</v>
      </c>
      <c r="L959">
        <f t="shared" si="129"/>
        <v>4.0816326530612245E-5</v>
      </c>
      <c r="M959" t="b">
        <f t="shared" si="130"/>
        <v>1</v>
      </c>
      <c r="N959" t="b">
        <f t="shared" si="131"/>
        <v>1</v>
      </c>
      <c r="O959" t="s">
        <v>835</v>
      </c>
      <c r="P959">
        <f t="shared" si="132"/>
        <v>0.11224489795918365</v>
      </c>
      <c r="Q959">
        <f t="shared" si="133"/>
        <v>0</v>
      </c>
      <c r="R959">
        <f t="shared" si="134"/>
        <v>6.7346938775510179E-2</v>
      </c>
    </row>
    <row r="960" spans="1:18" hidden="1">
      <c r="A960" t="s">
        <v>993</v>
      </c>
      <c r="B960" t="s">
        <v>56</v>
      </c>
      <c r="C960" t="str">
        <f t="shared" si="126"/>
        <v>IT &amp; Systems</v>
      </c>
      <c r="D960" t="s">
        <v>20</v>
      </c>
      <c r="E960" t="str">
        <f t="shared" si="127"/>
        <v>Dataverse</v>
      </c>
      <c r="F960">
        <v>8</v>
      </c>
      <c r="G960">
        <v>49000</v>
      </c>
      <c r="H960" s="1">
        <v>43616</v>
      </c>
      <c r="I960">
        <v>1</v>
      </c>
      <c r="J960" t="s">
        <v>57</v>
      </c>
      <c r="K960">
        <f t="shared" si="128"/>
        <v>2</v>
      </c>
      <c r="L960">
        <f t="shared" si="129"/>
        <v>4.0816326530612245E-5</v>
      </c>
      <c r="M960" t="b">
        <f t="shared" si="130"/>
        <v>0</v>
      </c>
      <c r="N960" t="b">
        <f t="shared" si="131"/>
        <v>1</v>
      </c>
      <c r="O960" t="s">
        <v>835</v>
      </c>
      <c r="P960">
        <f t="shared" si="132"/>
        <v>0.11224489795918365</v>
      </c>
      <c r="Q960">
        <f t="shared" si="133"/>
        <v>0</v>
      </c>
      <c r="R960">
        <f t="shared" si="134"/>
        <v>6.7346938775510179E-2</v>
      </c>
    </row>
    <row r="961" spans="1:18" hidden="1">
      <c r="A961" t="s">
        <v>994</v>
      </c>
      <c r="B961" t="s">
        <v>60</v>
      </c>
      <c r="C961" t="str">
        <f t="shared" si="126"/>
        <v>Manufacturing and operations</v>
      </c>
      <c r="D961" t="s">
        <v>27</v>
      </c>
      <c r="E961" t="str">
        <f t="shared" si="127"/>
        <v>Technova</v>
      </c>
      <c r="F961">
        <v>20</v>
      </c>
      <c r="G961">
        <v>49000</v>
      </c>
      <c r="H961" s="1">
        <v>43487</v>
      </c>
      <c r="I961">
        <v>1</v>
      </c>
      <c r="J961" t="s">
        <v>57</v>
      </c>
      <c r="K961">
        <f t="shared" si="128"/>
        <v>2</v>
      </c>
      <c r="L961">
        <f t="shared" si="129"/>
        <v>4.0816326530612245E-5</v>
      </c>
      <c r="M961" t="b">
        <f t="shared" si="130"/>
        <v>1</v>
      </c>
      <c r="N961" t="b">
        <f t="shared" si="131"/>
        <v>1</v>
      </c>
      <c r="O961" t="s">
        <v>835</v>
      </c>
      <c r="P961">
        <f t="shared" si="132"/>
        <v>0.11224489795918365</v>
      </c>
      <c r="Q961">
        <f t="shared" si="133"/>
        <v>0</v>
      </c>
      <c r="R961">
        <f t="shared" si="134"/>
        <v>6.7346938775510179E-2</v>
      </c>
    </row>
    <row r="962" spans="1:18" hidden="1">
      <c r="A962" t="s">
        <v>995</v>
      </c>
      <c r="B962" t="s">
        <v>60</v>
      </c>
      <c r="C962" t="str">
        <f t="shared" ref="C962:C1001" si="135">TRIM(B962)</f>
        <v>Manufacturing and operations</v>
      </c>
      <c r="D962" t="s">
        <v>20</v>
      </c>
      <c r="E962" t="str">
        <f t="shared" ref="E962:E1001" si="136">TRIM(D962)</f>
        <v>Dataverse</v>
      </c>
      <c r="F962">
        <v>1</v>
      </c>
      <c r="G962">
        <v>49000</v>
      </c>
      <c r="H962" s="1">
        <v>41778</v>
      </c>
      <c r="I962">
        <v>1</v>
      </c>
      <c r="J962" t="s">
        <v>57</v>
      </c>
      <c r="K962">
        <f t="shared" ref="K962:K1001" si="137">IF(J962="A", 3, IF(J962="B", 2, 1))</f>
        <v>2</v>
      </c>
      <c r="L962">
        <f t="shared" ref="L962:L1001" si="138">K962/G962</f>
        <v>4.0816326530612245E-5</v>
      </c>
      <c r="M962" t="b">
        <f t="shared" ref="M962:M1001" si="139">IF(F962&gt;15, TRUE, FALSE)</f>
        <v>0</v>
      </c>
      <c r="N962" t="b">
        <f t="shared" ref="N962:N1001" si="140">IF(F962&gt;5, TRUE, FALSE)</f>
        <v>0</v>
      </c>
      <c r="O962" t="s">
        <v>835</v>
      </c>
      <c r="P962">
        <f t="shared" ref="P962:P1001" si="141">(L962-MIN(L:L))/(MAX(L:L)-MIN(L:L))</f>
        <v>0.11224489795918365</v>
      </c>
      <c r="Q962">
        <f t="shared" ref="Q962:Q1001" si="142">(I962-1)/4</f>
        <v>0</v>
      </c>
      <c r="R962">
        <f t="shared" ref="R962:R1001" si="143">(0.6*P962)+(0.4*Q962)</f>
        <v>6.7346938775510179E-2</v>
      </c>
    </row>
    <row r="963" spans="1:18" hidden="1">
      <c r="A963" t="s">
        <v>996</v>
      </c>
      <c r="B963" t="s">
        <v>60</v>
      </c>
      <c r="C963" t="str">
        <f t="shared" si="135"/>
        <v>Manufacturing and operations</v>
      </c>
      <c r="D963" t="s">
        <v>27</v>
      </c>
      <c r="E963" t="str">
        <f t="shared" si="136"/>
        <v>Technova</v>
      </c>
      <c r="F963">
        <v>3</v>
      </c>
      <c r="G963">
        <v>49000</v>
      </c>
      <c r="H963" s="1">
        <v>45139</v>
      </c>
      <c r="I963">
        <v>1</v>
      </c>
      <c r="J963" t="s">
        <v>57</v>
      </c>
      <c r="K963">
        <f t="shared" si="137"/>
        <v>2</v>
      </c>
      <c r="L963">
        <f t="shared" si="138"/>
        <v>4.0816326530612245E-5</v>
      </c>
      <c r="M963" t="b">
        <f t="shared" si="139"/>
        <v>0</v>
      </c>
      <c r="N963" t="b">
        <f t="shared" si="140"/>
        <v>0</v>
      </c>
      <c r="O963" t="s">
        <v>835</v>
      </c>
      <c r="P963">
        <f t="shared" si="141"/>
        <v>0.11224489795918365</v>
      </c>
      <c r="Q963">
        <f t="shared" si="142"/>
        <v>0</v>
      </c>
      <c r="R963">
        <f t="shared" si="143"/>
        <v>6.7346938775510179E-2</v>
      </c>
    </row>
    <row r="964" spans="1:18" hidden="1">
      <c r="A964" t="s">
        <v>997</v>
      </c>
      <c r="B964" t="s">
        <v>60</v>
      </c>
      <c r="C964" t="str">
        <f t="shared" si="135"/>
        <v>Manufacturing and operations</v>
      </c>
      <c r="D964" t="s">
        <v>20</v>
      </c>
      <c r="E964" t="str">
        <f t="shared" si="136"/>
        <v>Dataverse</v>
      </c>
      <c r="F964">
        <v>1</v>
      </c>
      <c r="G964">
        <v>49000</v>
      </c>
      <c r="H964" s="1">
        <v>40494</v>
      </c>
      <c r="I964">
        <v>1</v>
      </c>
      <c r="J964" t="s">
        <v>57</v>
      </c>
      <c r="K964">
        <f t="shared" si="137"/>
        <v>2</v>
      </c>
      <c r="L964">
        <f t="shared" si="138"/>
        <v>4.0816326530612245E-5</v>
      </c>
      <c r="M964" t="b">
        <f t="shared" si="139"/>
        <v>0</v>
      </c>
      <c r="N964" t="b">
        <f t="shared" si="140"/>
        <v>0</v>
      </c>
      <c r="O964" t="s">
        <v>835</v>
      </c>
      <c r="P964">
        <f t="shared" si="141"/>
        <v>0.11224489795918365</v>
      </c>
      <c r="Q964">
        <f t="shared" si="142"/>
        <v>0</v>
      </c>
      <c r="R964">
        <f t="shared" si="143"/>
        <v>6.7346938775510179E-2</v>
      </c>
    </row>
    <row r="965" spans="1:18" hidden="1">
      <c r="A965" t="s">
        <v>998</v>
      </c>
      <c r="B965" t="s">
        <v>67</v>
      </c>
      <c r="C965" t="str">
        <f t="shared" si="135"/>
        <v>Quality Assurance</v>
      </c>
      <c r="D965" t="s">
        <v>20</v>
      </c>
      <c r="E965" t="str">
        <f t="shared" si="136"/>
        <v>Dataverse</v>
      </c>
      <c r="F965">
        <v>3</v>
      </c>
      <c r="G965">
        <v>49000</v>
      </c>
      <c r="H965" s="1">
        <v>39493</v>
      </c>
      <c r="I965">
        <v>1</v>
      </c>
      <c r="J965" t="s">
        <v>57</v>
      </c>
      <c r="K965">
        <f t="shared" si="137"/>
        <v>2</v>
      </c>
      <c r="L965">
        <f t="shared" si="138"/>
        <v>4.0816326530612245E-5</v>
      </c>
      <c r="M965" t="b">
        <f t="shared" si="139"/>
        <v>0</v>
      </c>
      <c r="N965" t="b">
        <f t="shared" si="140"/>
        <v>0</v>
      </c>
      <c r="O965" t="s">
        <v>835</v>
      </c>
      <c r="P965">
        <f t="shared" si="141"/>
        <v>0.11224489795918365</v>
      </c>
      <c r="Q965">
        <f t="shared" si="142"/>
        <v>0</v>
      </c>
      <c r="R965">
        <f t="shared" si="143"/>
        <v>6.7346938775510179E-2</v>
      </c>
    </row>
    <row r="966" spans="1:18" hidden="1">
      <c r="A966" t="s">
        <v>999</v>
      </c>
      <c r="B966" t="s">
        <v>67</v>
      </c>
      <c r="C966" t="str">
        <f t="shared" si="135"/>
        <v>Quality Assurance</v>
      </c>
      <c r="D966" t="s">
        <v>20</v>
      </c>
      <c r="E966" t="str">
        <f t="shared" si="136"/>
        <v>Dataverse</v>
      </c>
      <c r="F966">
        <v>12</v>
      </c>
      <c r="G966">
        <v>49000</v>
      </c>
      <c r="H966" s="1">
        <v>39606</v>
      </c>
      <c r="I966">
        <v>1</v>
      </c>
      <c r="J966" t="s">
        <v>57</v>
      </c>
      <c r="K966">
        <f t="shared" si="137"/>
        <v>2</v>
      </c>
      <c r="L966">
        <f t="shared" si="138"/>
        <v>4.0816326530612245E-5</v>
      </c>
      <c r="M966" t="b">
        <f t="shared" si="139"/>
        <v>0</v>
      </c>
      <c r="N966" t="b">
        <f t="shared" si="140"/>
        <v>1</v>
      </c>
      <c r="O966" t="s">
        <v>835</v>
      </c>
      <c r="P966">
        <f t="shared" si="141"/>
        <v>0.11224489795918365</v>
      </c>
      <c r="Q966">
        <f t="shared" si="142"/>
        <v>0</v>
      </c>
      <c r="R966">
        <f t="shared" si="143"/>
        <v>6.7346938775510179E-2</v>
      </c>
    </row>
    <row r="967" spans="1:18" hidden="1">
      <c r="A967" t="s">
        <v>1000</v>
      </c>
      <c r="B967" t="s">
        <v>67</v>
      </c>
      <c r="C967" t="str">
        <f t="shared" si="135"/>
        <v>Quality Assurance</v>
      </c>
      <c r="D967" t="s">
        <v>20</v>
      </c>
      <c r="E967" t="str">
        <f t="shared" si="136"/>
        <v>Dataverse</v>
      </c>
      <c r="F967">
        <v>11</v>
      </c>
      <c r="G967">
        <v>49000</v>
      </c>
      <c r="H967" s="1">
        <v>42724</v>
      </c>
      <c r="I967">
        <v>1</v>
      </c>
      <c r="J967" t="s">
        <v>57</v>
      </c>
      <c r="K967">
        <f t="shared" si="137"/>
        <v>2</v>
      </c>
      <c r="L967">
        <f t="shared" si="138"/>
        <v>4.0816326530612245E-5</v>
      </c>
      <c r="M967" t="b">
        <f t="shared" si="139"/>
        <v>0</v>
      </c>
      <c r="N967" t="b">
        <f t="shared" si="140"/>
        <v>1</v>
      </c>
      <c r="O967" t="s">
        <v>835</v>
      </c>
      <c r="P967">
        <f t="shared" si="141"/>
        <v>0.11224489795918365</v>
      </c>
      <c r="Q967">
        <f t="shared" si="142"/>
        <v>0</v>
      </c>
      <c r="R967">
        <f t="shared" si="143"/>
        <v>6.7346938775510179E-2</v>
      </c>
    </row>
    <row r="968" spans="1:18" hidden="1">
      <c r="A968" t="s">
        <v>1001</v>
      </c>
      <c r="B968" t="s">
        <v>102</v>
      </c>
      <c r="C968" t="str">
        <f t="shared" si="135"/>
        <v>Finance</v>
      </c>
      <c r="D968" t="s">
        <v>20</v>
      </c>
      <c r="E968" t="str">
        <f t="shared" si="136"/>
        <v>Dataverse</v>
      </c>
      <c r="F968">
        <v>7</v>
      </c>
      <c r="G968">
        <v>50000</v>
      </c>
      <c r="H968" s="1">
        <v>42138</v>
      </c>
      <c r="I968">
        <v>1</v>
      </c>
      <c r="J968" t="s">
        <v>57</v>
      </c>
      <c r="K968">
        <f t="shared" si="137"/>
        <v>2</v>
      </c>
      <c r="L968">
        <f t="shared" si="138"/>
        <v>4.0000000000000003E-5</v>
      </c>
      <c r="M968" t="b">
        <f t="shared" si="139"/>
        <v>0</v>
      </c>
      <c r="N968" t="b">
        <f t="shared" si="140"/>
        <v>1</v>
      </c>
      <c r="O968" t="s">
        <v>835</v>
      </c>
      <c r="P968">
        <f t="shared" si="141"/>
        <v>0.10000000000000002</v>
      </c>
      <c r="Q968">
        <f t="shared" si="142"/>
        <v>0</v>
      </c>
      <c r="R968">
        <f t="shared" si="143"/>
        <v>6.0000000000000012E-2</v>
      </c>
    </row>
    <row r="969" spans="1:18" hidden="1">
      <c r="A969" t="s">
        <v>1002</v>
      </c>
      <c r="B969" t="s">
        <v>19</v>
      </c>
      <c r="C969" t="str">
        <f t="shared" si="135"/>
        <v>Research &amp; Department</v>
      </c>
      <c r="D969" t="s">
        <v>20</v>
      </c>
      <c r="E969" t="str">
        <f t="shared" si="136"/>
        <v>Dataverse</v>
      </c>
      <c r="F969">
        <v>6</v>
      </c>
      <c r="G969">
        <v>25000</v>
      </c>
      <c r="H969" s="1">
        <v>40438</v>
      </c>
      <c r="I969">
        <v>1</v>
      </c>
      <c r="J969" t="s">
        <v>21</v>
      </c>
      <c r="K969">
        <f t="shared" si="137"/>
        <v>1</v>
      </c>
      <c r="L969">
        <f t="shared" si="138"/>
        <v>4.0000000000000003E-5</v>
      </c>
      <c r="M969" t="b">
        <f t="shared" si="139"/>
        <v>0</v>
      </c>
      <c r="N969" t="b">
        <f t="shared" si="140"/>
        <v>1</v>
      </c>
      <c r="O969" t="s">
        <v>835</v>
      </c>
      <c r="P969">
        <f t="shared" si="141"/>
        <v>0.10000000000000002</v>
      </c>
      <c r="Q969">
        <f t="shared" si="142"/>
        <v>0</v>
      </c>
      <c r="R969">
        <f t="shared" si="143"/>
        <v>6.0000000000000012E-2</v>
      </c>
    </row>
    <row r="970" spans="1:18" hidden="1">
      <c r="A970" t="s">
        <v>1003</v>
      </c>
      <c r="B970" t="s">
        <v>102</v>
      </c>
      <c r="C970" t="str">
        <f t="shared" si="135"/>
        <v>Finance</v>
      </c>
      <c r="D970" t="s">
        <v>27</v>
      </c>
      <c r="E970" t="str">
        <f t="shared" si="136"/>
        <v>Technova</v>
      </c>
      <c r="F970">
        <v>23</v>
      </c>
      <c r="G970">
        <v>50000</v>
      </c>
      <c r="H970" s="1">
        <v>44940</v>
      </c>
      <c r="I970">
        <v>1</v>
      </c>
      <c r="J970" t="s">
        <v>57</v>
      </c>
      <c r="K970">
        <f t="shared" si="137"/>
        <v>2</v>
      </c>
      <c r="L970">
        <f t="shared" si="138"/>
        <v>4.0000000000000003E-5</v>
      </c>
      <c r="M970" t="b">
        <f t="shared" si="139"/>
        <v>1</v>
      </c>
      <c r="N970" t="b">
        <f t="shared" si="140"/>
        <v>1</v>
      </c>
      <c r="O970" t="s">
        <v>835</v>
      </c>
      <c r="P970">
        <f t="shared" si="141"/>
        <v>0.10000000000000002</v>
      </c>
      <c r="Q970">
        <f t="shared" si="142"/>
        <v>0</v>
      </c>
      <c r="R970">
        <f t="shared" si="143"/>
        <v>6.0000000000000012E-2</v>
      </c>
    </row>
    <row r="971" spans="1:18" hidden="1">
      <c r="A971" t="s">
        <v>1004</v>
      </c>
      <c r="B971" t="s">
        <v>102</v>
      </c>
      <c r="C971" t="str">
        <f t="shared" si="135"/>
        <v>Finance</v>
      </c>
      <c r="D971" t="s">
        <v>20</v>
      </c>
      <c r="E971" t="str">
        <f t="shared" si="136"/>
        <v>Dataverse</v>
      </c>
      <c r="F971">
        <v>22</v>
      </c>
      <c r="G971">
        <v>50000</v>
      </c>
      <c r="H971" s="1">
        <v>39579</v>
      </c>
      <c r="I971">
        <v>1</v>
      </c>
      <c r="J971" t="s">
        <v>57</v>
      </c>
      <c r="K971">
        <f t="shared" si="137"/>
        <v>2</v>
      </c>
      <c r="L971">
        <f t="shared" si="138"/>
        <v>4.0000000000000003E-5</v>
      </c>
      <c r="M971" t="b">
        <f t="shared" si="139"/>
        <v>1</v>
      </c>
      <c r="N971" t="b">
        <f t="shared" si="140"/>
        <v>1</v>
      </c>
      <c r="O971" t="s">
        <v>835</v>
      </c>
      <c r="P971">
        <f t="shared" si="141"/>
        <v>0.10000000000000002</v>
      </c>
      <c r="Q971">
        <f t="shared" si="142"/>
        <v>0</v>
      </c>
      <c r="R971">
        <f t="shared" si="143"/>
        <v>6.0000000000000012E-2</v>
      </c>
    </row>
    <row r="972" spans="1:18" hidden="1">
      <c r="A972" t="s">
        <v>1005</v>
      </c>
      <c r="B972" t="s">
        <v>74</v>
      </c>
      <c r="C972" t="str">
        <f t="shared" si="135"/>
        <v>Human Resources</v>
      </c>
      <c r="D972" t="s">
        <v>27</v>
      </c>
      <c r="E972" t="str">
        <f t="shared" si="136"/>
        <v>Technova</v>
      </c>
      <c r="F972">
        <v>7</v>
      </c>
      <c r="G972">
        <v>50000</v>
      </c>
      <c r="H972" s="1">
        <v>44738</v>
      </c>
      <c r="I972">
        <v>1</v>
      </c>
      <c r="J972" t="s">
        <v>57</v>
      </c>
      <c r="K972">
        <f t="shared" si="137"/>
        <v>2</v>
      </c>
      <c r="L972">
        <f t="shared" si="138"/>
        <v>4.0000000000000003E-5</v>
      </c>
      <c r="M972" t="b">
        <f t="shared" si="139"/>
        <v>0</v>
      </c>
      <c r="N972" t="b">
        <f t="shared" si="140"/>
        <v>1</v>
      </c>
      <c r="O972" t="s">
        <v>835</v>
      </c>
      <c r="P972">
        <f t="shared" si="141"/>
        <v>0.10000000000000002</v>
      </c>
      <c r="Q972">
        <f t="shared" si="142"/>
        <v>0</v>
      </c>
      <c r="R972">
        <f t="shared" si="143"/>
        <v>6.0000000000000012E-2</v>
      </c>
    </row>
    <row r="973" spans="1:18" hidden="1">
      <c r="A973" t="s">
        <v>1006</v>
      </c>
      <c r="B973" t="s">
        <v>74</v>
      </c>
      <c r="C973" t="str">
        <f t="shared" si="135"/>
        <v>Human Resources</v>
      </c>
      <c r="D973" t="s">
        <v>27</v>
      </c>
      <c r="E973" t="str">
        <f t="shared" si="136"/>
        <v>Technova</v>
      </c>
      <c r="F973">
        <v>2</v>
      </c>
      <c r="G973">
        <v>50000</v>
      </c>
      <c r="H973" s="1">
        <v>40707</v>
      </c>
      <c r="I973">
        <v>1</v>
      </c>
      <c r="J973" t="s">
        <v>57</v>
      </c>
      <c r="K973">
        <f t="shared" si="137"/>
        <v>2</v>
      </c>
      <c r="L973">
        <f t="shared" si="138"/>
        <v>4.0000000000000003E-5</v>
      </c>
      <c r="M973" t="b">
        <f t="shared" si="139"/>
        <v>0</v>
      </c>
      <c r="N973" t="b">
        <f t="shared" si="140"/>
        <v>0</v>
      </c>
      <c r="O973" t="s">
        <v>835</v>
      </c>
      <c r="P973">
        <f t="shared" si="141"/>
        <v>0.10000000000000002</v>
      </c>
      <c r="Q973">
        <f t="shared" si="142"/>
        <v>0</v>
      </c>
      <c r="R973">
        <f t="shared" si="143"/>
        <v>6.0000000000000012E-2</v>
      </c>
    </row>
    <row r="974" spans="1:18" hidden="1">
      <c r="A974" t="s">
        <v>1007</v>
      </c>
      <c r="B974" t="s">
        <v>56</v>
      </c>
      <c r="C974" t="str">
        <f t="shared" si="135"/>
        <v>IT &amp; Systems</v>
      </c>
      <c r="D974" t="s">
        <v>27</v>
      </c>
      <c r="E974" t="str">
        <f t="shared" si="136"/>
        <v>Technova</v>
      </c>
      <c r="F974">
        <v>11</v>
      </c>
      <c r="G974">
        <v>50000</v>
      </c>
      <c r="H974" s="1">
        <v>40918</v>
      </c>
      <c r="I974">
        <v>1</v>
      </c>
      <c r="J974" t="s">
        <v>57</v>
      </c>
      <c r="K974">
        <f t="shared" si="137"/>
        <v>2</v>
      </c>
      <c r="L974">
        <f t="shared" si="138"/>
        <v>4.0000000000000003E-5</v>
      </c>
      <c r="M974" t="b">
        <f t="shared" si="139"/>
        <v>0</v>
      </c>
      <c r="N974" t="b">
        <f t="shared" si="140"/>
        <v>1</v>
      </c>
      <c r="O974" t="s">
        <v>835</v>
      </c>
      <c r="P974">
        <f t="shared" si="141"/>
        <v>0.10000000000000002</v>
      </c>
      <c r="Q974">
        <f t="shared" si="142"/>
        <v>0</v>
      </c>
      <c r="R974">
        <f t="shared" si="143"/>
        <v>6.0000000000000012E-2</v>
      </c>
    </row>
    <row r="975" spans="1:18" hidden="1">
      <c r="A975" t="s">
        <v>1008</v>
      </c>
      <c r="B975" t="s">
        <v>60</v>
      </c>
      <c r="C975" t="str">
        <f t="shared" si="135"/>
        <v>Manufacturing and operations</v>
      </c>
      <c r="D975" t="s">
        <v>27</v>
      </c>
      <c r="E975" t="str">
        <f t="shared" si="136"/>
        <v>Technova</v>
      </c>
      <c r="F975">
        <v>22</v>
      </c>
      <c r="G975">
        <v>50000</v>
      </c>
      <c r="H975" s="1">
        <v>44426</v>
      </c>
      <c r="I975">
        <v>1</v>
      </c>
      <c r="J975" t="s">
        <v>57</v>
      </c>
      <c r="K975">
        <f t="shared" si="137"/>
        <v>2</v>
      </c>
      <c r="L975">
        <f t="shared" si="138"/>
        <v>4.0000000000000003E-5</v>
      </c>
      <c r="M975" t="b">
        <f t="shared" si="139"/>
        <v>1</v>
      </c>
      <c r="N975" t="b">
        <f t="shared" si="140"/>
        <v>1</v>
      </c>
      <c r="O975" t="s">
        <v>835</v>
      </c>
      <c r="P975">
        <f t="shared" si="141"/>
        <v>0.10000000000000002</v>
      </c>
      <c r="Q975">
        <f t="shared" si="142"/>
        <v>0</v>
      </c>
      <c r="R975">
        <f t="shared" si="143"/>
        <v>6.0000000000000012E-2</v>
      </c>
    </row>
    <row r="976" spans="1:18" hidden="1">
      <c r="A976" t="s">
        <v>1009</v>
      </c>
      <c r="B976" t="s">
        <v>25</v>
      </c>
      <c r="C976" t="str">
        <f t="shared" si="135"/>
        <v>Sales &amp; Marketing</v>
      </c>
      <c r="D976" t="s">
        <v>27</v>
      </c>
      <c r="E976" t="str">
        <f t="shared" si="136"/>
        <v>Technova</v>
      </c>
      <c r="F976">
        <v>11</v>
      </c>
      <c r="G976">
        <v>25000</v>
      </c>
      <c r="H976" s="1">
        <v>43911</v>
      </c>
      <c r="I976">
        <v>1</v>
      </c>
      <c r="J976" t="s">
        <v>21</v>
      </c>
      <c r="K976">
        <f t="shared" si="137"/>
        <v>1</v>
      </c>
      <c r="L976">
        <f t="shared" si="138"/>
        <v>4.0000000000000003E-5</v>
      </c>
      <c r="M976" t="b">
        <f t="shared" si="139"/>
        <v>0</v>
      </c>
      <c r="N976" t="b">
        <f t="shared" si="140"/>
        <v>1</v>
      </c>
      <c r="O976" t="s">
        <v>835</v>
      </c>
      <c r="P976">
        <f t="shared" si="141"/>
        <v>0.10000000000000002</v>
      </c>
      <c r="Q976">
        <f t="shared" si="142"/>
        <v>0</v>
      </c>
      <c r="R976">
        <f t="shared" si="143"/>
        <v>6.0000000000000012E-2</v>
      </c>
    </row>
    <row r="977" spans="1:18" hidden="1">
      <c r="A977" t="s">
        <v>1010</v>
      </c>
      <c r="B977" t="s">
        <v>60</v>
      </c>
      <c r="C977" t="str">
        <f t="shared" si="135"/>
        <v>Manufacturing and operations</v>
      </c>
      <c r="D977" t="s">
        <v>27</v>
      </c>
      <c r="E977" t="str">
        <f t="shared" si="136"/>
        <v>Technova</v>
      </c>
      <c r="F977">
        <v>14</v>
      </c>
      <c r="G977">
        <v>50000</v>
      </c>
      <c r="H977" s="1">
        <v>45167</v>
      </c>
      <c r="I977">
        <v>1</v>
      </c>
      <c r="J977" t="s">
        <v>57</v>
      </c>
      <c r="K977">
        <f t="shared" si="137"/>
        <v>2</v>
      </c>
      <c r="L977">
        <f t="shared" si="138"/>
        <v>4.0000000000000003E-5</v>
      </c>
      <c r="M977" t="b">
        <f t="shared" si="139"/>
        <v>0</v>
      </c>
      <c r="N977" t="b">
        <f t="shared" si="140"/>
        <v>1</v>
      </c>
      <c r="O977" t="s">
        <v>835</v>
      </c>
      <c r="P977">
        <f t="shared" si="141"/>
        <v>0.10000000000000002</v>
      </c>
      <c r="Q977">
        <f t="shared" si="142"/>
        <v>0</v>
      </c>
      <c r="R977">
        <f t="shared" si="143"/>
        <v>6.0000000000000012E-2</v>
      </c>
    </row>
    <row r="978" spans="1:18" hidden="1">
      <c r="A978" t="s">
        <v>1011</v>
      </c>
      <c r="B978" t="s">
        <v>60</v>
      </c>
      <c r="C978" t="str">
        <f t="shared" si="135"/>
        <v>Manufacturing and operations</v>
      </c>
      <c r="D978" t="s">
        <v>27</v>
      </c>
      <c r="E978" t="str">
        <f t="shared" si="136"/>
        <v>Technova</v>
      </c>
      <c r="F978">
        <v>6</v>
      </c>
      <c r="G978">
        <v>50000</v>
      </c>
      <c r="H978" s="1">
        <v>44894</v>
      </c>
      <c r="I978">
        <v>1</v>
      </c>
      <c r="J978" t="s">
        <v>57</v>
      </c>
      <c r="K978">
        <f t="shared" si="137"/>
        <v>2</v>
      </c>
      <c r="L978">
        <f t="shared" si="138"/>
        <v>4.0000000000000003E-5</v>
      </c>
      <c r="M978" t="b">
        <f t="shared" si="139"/>
        <v>0</v>
      </c>
      <c r="N978" t="b">
        <f t="shared" si="140"/>
        <v>1</v>
      </c>
      <c r="O978" t="s">
        <v>835</v>
      </c>
      <c r="P978">
        <f t="shared" si="141"/>
        <v>0.10000000000000002</v>
      </c>
      <c r="Q978">
        <f t="shared" si="142"/>
        <v>0</v>
      </c>
      <c r="R978">
        <f t="shared" si="143"/>
        <v>6.0000000000000012E-2</v>
      </c>
    </row>
    <row r="979" spans="1:18" hidden="1">
      <c r="A979" t="s">
        <v>1012</v>
      </c>
      <c r="B979" t="s">
        <v>60</v>
      </c>
      <c r="C979" t="str">
        <f t="shared" si="135"/>
        <v>Manufacturing and operations</v>
      </c>
      <c r="D979" t="s">
        <v>20</v>
      </c>
      <c r="E979" t="str">
        <f t="shared" si="136"/>
        <v>Dataverse</v>
      </c>
      <c r="F979">
        <v>14</v>
      </c>
      <c r="G979">
        <v>50000</v>
      </c>
      <c r="H979" s="1">
        <v>40913</v>
      </c>
      <c r="I979">
        <v>1</v>
      </c>
      <c r="J979" t="s">
        <v>57</v>
      </c>
      <c r="K979">
        <f t="shared" si="137"/>
        <v>2</v>
      </c>
      <c r="L979">
        <f t="shared" si="138"/>
        <v>4.0000000000000003E-5</v>
      </c>
      <c r="M979" t="b">
        <f t="shared" si="139"/>
        <v>0</v>
      </c>
      <c r="N979" t="b">
        <f t="shared" si="140"/>
        <v>1</v>
      </c>
      <c r="O979" t="s">
        <v>835</v>
      </c>
      <c r="P979">
        <f t="shared" si="141"/>
        <v>0.10000000000000002</v>
      </c>
      <c r="Q979">
        <f t="shared" si="142"/>
        <v>0</v>
      </c>
      <c r="R979">
        <f t="shared" si="143"/>
        <v>6.0000000000000012E-2</v>
      </c>
    </row>
    <row r="980" spans="1:18" hidden="1">
      <c r="A980" t="s">
        <v>1013</v>
      </c>
      <c r="B980" t="s">
        <v>67</v>
      </c>
      <c r="C980" t="str">
        <f t="shared" si="135"/>
        <v>Quality Assurance</v>
      </c>
      <c r="D980" t="s">
        <v>27</v>
      </c>
      <c r="E980" t="str">
        <f t="shared" si="136"/>
        <v>Technova</v>
      </c>
      <c r="F980">
        <v>12</v>
      </c>
      <c r="G980">
        <v>50000</v>
      </c>
      <c r="H980" s="1">
        <v>44903</v>
      </c>
      <c r="I980">
        <v>1</v>
      </c>
      <c r="J980" t="s">
        <v>57</v>
      </c>
      <c r="K980">
        <f t="shared" si="137"/>
        <v>2</v>
      </c>
      <c r="L980">
        <f t="shared" si="138"/>
        <v>4.0000000000000003E-5</v>
      </c>
      <c r="M980" t="b">
        <f t="shared" si="139"/>
        <v>0</v>
      </c>
      <c r="N980" t="b">
        <f t="shared" si="140"/>
        <v>1</v>
      </c>
      <c r="O980" t="s">
        <v>835</v>
      </c>
      <c r="P980">
        <f t="shared" si="141"/>
        <v>0.10000000000000002</v>
      </c>
      <c r="Q980">
        <f t="shared" si="142"/>
        <v>0</v>
      </c>
      <c r="R980">
        <f t="shared" si="143"/>
        <v>6.0000000000000012E-2</v>
      </c>
    </row>
    <row r="981" spans="1:18" hidden="1">
      <c r="A981" t="s">
        <v>1014</v>
      </c>
      <c r="B981" t="s">
        <v>204</v>
      </c>
      <c r="C981" t="str">
        <f t="shared" si="135"/>
        <v>Administrative Services</v>
      </c>
      <c r="D981" t="s">
        <v>27</v>
      </c>
      <c r="E981" t="str">
        <f t="shared" si="136"/>
        <v>Technova</v>
      </c>
      <c r="F981">
        <v>10</v>
      </c>
      <c r="G981">
        <v>77000</v>
      </c>
      <c r="H981" s="1">
        <v>43240</v>
      </c>
      <c r="I981">
        <v>1</v>
      </c>
      <c r="J981" t="s">
        <v>174</v>
      </c>
      <c r="K981">
        <f t="shared" si="137"/>
        <v>3</v>
      </c>
      <c r="L981">
        <f t="shared" si="138"/>
        <v>3.896103896103896E-5</v>
      </c>
      <c r="M981" t="b">
        <f t="shared" si="139"/>
        <v>0</v>
      </c>
      <c r="N981" t="b">
        <f t="shared" si="140"/>
        <v>1</v>
      </c>
      <c r="O981" t="s">
        <v>835</v>
      </c>
      <c r="P981">
        <f t="shared" si="141"/>
        <v>8.441558441558436E-2</v>
      </c>
      <c r="Q981">
        <f t="shared" si="142"/>
        <v>0</v>
      </c>
      <c r="R981">
        <f t="shared" si="143"/>
        <v>5.0649350649350618E-2</v>
      </c>
    </row>
    <row r="982" spans="1:18" hidden="1">
      <c r="A982" t="s">
        <v>1015</v>
      </c>
      <c r="B982" t="s">
        <v>19</v>
      </c>
      <c r="C982" t="str">
        <f t="shared" si="135"/>
        <v>Research &amp; Department</v>
      </c>
      <c r="D982" t="s">
        <v>20</v>
      </c>
      <c r="E982" t="str">
        <f t="shared" si="136"/>
        <v>Dataverse</v>
      </c>
      <c r="F982">
        <v>23</v>
      </c>
      <c r="G982">
        <v>26000</v>
      </c>
      <c r="H982" s="1">
        <v>39561</v>
      </c>
      <c r="I982">
        <v>1</v>
      </c>
      <c r="J982" t="s">
        <v>21</v>
      </c>
      <c r="K982">
        <f t="shared" si="137"/>
        <v>1</v>
      </c>
      <c r="L982">
        <f t="shared" si="138"/>
        <v>3.8461538461538463E-5</v>
      </c>
      <c r="M982" t="b">
        <f t="shared" si="139"/>
        <v>1</v>
      </c>
      <c r="N982" t="b">
        <f t="shared" si="140"/>
        <v>1</v>
      </c>
      <c r="O982" t="s">
        <v>835</v>
      </c>
      <c r="P982">
        <f t="shared" si="141"/>
        <v>7.6923076923076913E-2</v>
      </c>
      <c r="Q982">
        <f t="shared" si="142"/>
        <v>0</v>
      </c>
      <c r="R982">
        <f t="shared" si="143"/>
        <v>4.6153846153846149E-2</v>
      </c>
    </row>
    <row r="983" spans="1:18" hidden="1">
      <c r="A983" t="s">
        <v>1016</v>
      </c>
      <c r="B983" t="s">
        <v>224</v>
      </c>
      <c r="C983" t="str">
        <f t="shared" si="135"/>
        <v>Business Strategy</v>
      </c>
      <c r="D983" t="s">
        <v>27</v>
      </c>
      <c r="E983" t="str">
        <f t="shared" si="136"/>
        <v>Technova</v>
      </c>
      <c r="F983">
        <v>13</v>
      </c>
      <c r="G983">
        <v>78000</v>
      </c>
      <c r="H983" s="1">
        <v>41255</v>
      </c>
      <c r="I983">
        <v>1</v>
      </c>
      <c r="J983" t="s">
        <v>174</v>
      </c>
      <c r="K983">
        <f t="shared" si="137"/>
        <v>3</v>
      </c>
      <c r="L983">
        <f t="shared" si="138"/>
        <v>3.8461538461538463E-5</v>
      </c>
      <c r="M983" t="b">
        <f t="shared" si="139"/>
        <v>0</v>
      </c>
      <c r="N983" t="b">
        <f t="shared" si="140"/>
        <v>1</v>
      </c>
      <c r="O983" t="s">
        <v>835</v>
      </c>
      <c r="P983">
        <f t="shared" si="141"/>
        <v>7.6923076923076913E-2</v>
      </c>
      <c r="Q983">
        <f t="shared" si="142"/>
        <v>0</v>
      </c>
      <c r="R983">
        <f t="shared" si="143"/>
        <v>4.6153846153846149E-2</v>
      </c>
    </row>
    <row r="984" spans="1:18" hidden="1">
      <c r="A984" t="s">
        <v>1017</v>
      </c>
      <c r="B984" t="s">
        <v>224</v>
      </c>
      <c r="C984" t="str">
        <f t="shared" si="135"/>
        <v>Business Strategy</v>
      </c>
      <c r="D984" t="s">
        <v>20</v>
      </c>
      <c r="E984" t="str">
        <f t="shared" si="136"/>
        <v>Dataverse</v>
      </c>
      <c r="F984">
        <v>14</v>
      </c>
      <c r="G984">
        <v>78000</v>
      </c>
      <c r="H984" s="1">
        <v>44629</v>
      </c>
      <c r="I984">
        <v>1</v>
      </c>
      <c r="J984" t="s">
        <v>174</v>
      </c>
      <c r="K984">
        <f t="shared" si="137"/>
        <v>3</v>
      </c>
      <c r="L984">
        <f t="shared" si="138"/>
        <v>3.8461538461538463E-5</v>
      </c>
      <c r="M984" t="b">
        <f t="shared" si="139"/>
        <v>0</v>
      </c>
      <c r="N984" t="b">
        <f t="shared" si="140"/>
        <v>1</v>
      </c>
      <c r="O984" t="s">
        <v>835</v>
      </c>
      <c r="P984">
        <f t="shared" si="141"/>
        <v>7.6923076923076913E-2</v>
      </c>
      <c r="Q984">
        <f t="shared" si="142"/>
        <v>0</v>
      </c>
      <c r="R984">
        <f t="shared" si="143"/>
        <v>4.6153846153846149E-2</v>
      </c>
    </row>
    <row r="985" spans="1:18" hidden="1">
      <c r="A985" t="s">
        <v>1018</v>
      </c>
      <c r="B985" t="s">
        <v>25</v>
      </c>
      <c r="C985" t="str">
        <f t="shared" si="135"/>
        <v>Sales &amp; Marketing</v>
      </c>
      <c r="D985" t="s">
        <v>27</v>
      </c>
      <c r="E985" t="str">
        <f t="shared" si="136"/>
        <v>Technova</v>
      </c>
      <c r="F985">
        <v>2</v>
      </c>
      <c r="G985">
        <v>26000</v>
      </c>
      <c r="H985" s="1">
        <v>44928</v>
      </c>
      <c r="I985">
        <v>1</v>
      </c>
      <c r="J985" t="s">
        <v>21</v>
      </c>
      <c r="K985">
        <f t="shared" si="137"/>
        <v>1</v>
      </c>
      <c r="L985">
        <f t="shared" si="138"/>
        <v>3.8461538461538463E-5</v>
      </c>
      <c r="M985" t="b">
        <f t="shared" si="139"/>
        <v>0</v>
      </c>
      <c r="N985" t="b">
        <f t="shared" si="140"/>
        <v>0</v>
      </c>
      <c r="O985" t="s">
        <v>835</v>
      </c>
      <c r="P985">
        <f t="shared" si="141"/>
        <v>7.6923076923076913E-2</v>
      </c>
      <c r="Q985">
        <f t="shared" si="142"/>
        <v>0</v>
      </c>
      <c r="R985">
        <f t="shared" si="143"/>
        <v>4.6153846153846149E-2</v>
      </c>
    </row>
    <row r="986" spans="1:18" hidden="1">
      <c r="A986" t="s">
        <v>1019</v>
      </c>
      <c r="B986" t="s">
        <v>25</v>
      </c>
      <c r="C986" t="str">
        <f t="shared" si="135"/>
        <v>Sales &amp; Marketing</v>
      </c>
      <c r="D986" t="s">
        <v>20</v>
      </c>
      <c r="E986" t="str">
        <f t="shared" si="136"/>
        <v>Dataverse</v>
      </c>
      <c r="F986">
        <v>10</v>
      </c>
      <c r="G986">
        <v>26000</v>
      </c>
      <c r="H986" s="1">
        <v>38766</v>
      </c>
      <c r="I986">
        <v>1</v>
      </c>
      <c r="J986" t="s">
        <v>21</v>
      </c>
      <c r="K986">
        <f t="shared" si="137"/>
        <v>1</v>
      </c>
      <c r="L986">
        <f t="shared" si="138"/>
        <v>3.8461538461538463E-5</v>
      </c>
      <c r="M986" t="b">
        <f t="shared" si="139"/>
        <v>0</v>
      </c>
      <c r="N986" t="b">
        <f t="shared" si="140"/>
        <v>1</v>
      </c>
      <c r="O986" t="s">
        <v>835</v>
      </c>
      <c r="P986">
        <f t="shared" si="141"/>
        <v>7.6923076923076913E-2</v>
      </c>
      <c r="Q986">
        <f t="shared" si="142"/>
        <v>0</v>
      </c>
      <c r="R986">
        <f t="shared" si="143"/>
        <v>4.6153846153846149E-2</v>
      </c>
    </row>
    <row r="987" spans="1:18" hidden="1">
      <c r="A987" t="s">
        <v>1020</v>
      </c>
      <c r="B987" t="s">
        <v>224</v>
      </c>
      <c r="C987" t="str">
        <f t="shared" si="135"/>
        <v>Business Strategy</v>
      </c>
      <c r="D987" t="s">
        <v>27</v>
      </c>
      <c r="E987" t="str">
        <f t="shared" si="136"/>
        <v>Technova</v>
      </c>
      <c r="F987">
        <v>15</v>
      </c>
      <c r="G987">
        <v>79000</v>
      </c>
      <c r="H987" s="1">
        <v>42235</v>
      </c>
      <c r="I987">
        <v>1</v>
      </c>
      <c r="J987" t="s">
        <v>174</v>
      </c>
      <c r="K987">
        <f t="shared" si="137"/>
        <v>3</v>
      </c>
      <c r="L987">
        <f t="shared" si="138"/>
        <v>3.79746835443038E-5</v>
      </c>
      <c r="M987" t="b">
        <f t="shared" si="139"/>
        <v>0</v>
      </c>
      <c r="N987" t="b">
        <f t="shared" si="140"/>
        <v>1</v>
      </c>
      <c r="O987" t="s">
        <v>835</v>
      </c>
      <c r="P987">
        <f t="shared" si="141"/>
        <v>6.9620253164556972E-2</v>
      </c>
      <c r="Q987">
        <f t="shared" si="142"/>
        <v>0</v>
      </c>
      <c r="R987">
        <f t="shared" si="143"/>
        <v>4.1772151898734185E-2</v>
      </c>
    </row>
    <row r="988" spans="1:18" hidden="1">
      <c r="A988" t="s">
        <v>1021</v>
      </c>
      <c r="B988" t="s">
        <v>70</v>
      </c>
      <c r="C988" t="str">
        <f t="shared" si="135"/>
        <v>Customer Experience</v>
      </c>
      <c r="D988" t="s">
        <v>27</v>
      </c>
      <c r="E988" t="str">
        <f t="shared" si="136"/>
        <v>Technova</v>
      </c>
      <c r="F988">
        <v>5</v>
      </c>
      <c r="G988">
        <v>80000</v>
      </c>
      <c r="H988" s="1">
        <v>38548</v>
      </c>
      <c r="I988">
        <v>1</v>
      </c>
      <c r="J988" t="s">
        <v>174</v>
      </c>
      <c r="K988">
        <f t="shared" si="137"/>
        <v>3</v>
      </c>
      <c r="L988">
        <f t="shared" si="138"/>
        <v>3.7499999999999997E-5</v>
      </c>
      <c r="M988" t="b">
        <f t="shared" si="139"/>
        <v>0</v>
      </c>
      <c r="N988" t="b">
        <f t="shared" si="140"/>
        <v>0</v>
      </c>
      <c r="O988" t="s">
        <v>835</v>
      </c>
      <c r="P988">
        <f t="shared" si="141"/>
        <v>6.2499999999999924E-2</v>
      </c>
      <c r="Q988">
        <f t="shared" si="142"/>
        <v>0</v>
      </c>
      <c r="R988">
        <f t="shared" si="143"/>
        <v>3.749999999999995E-2</v>
      </c>
    </row>
    <row r="989" spans="1:18" hidden="1">
      <c r="A989" t="s">
        <v>1022</v>
      </c>
      <c r="B989" t="s">
        <v>19</v>
      </c>
      <c r="C989" t="str">
        <f t="shared" si="135"/>
        <v>Research &amp; Department</v>
      </c>
      <c r="D989" t="s">
        <v>20</v>
      </c>
      <c r="E989" t="str">
        <f t="shared" si="136"/>
        <v>Dataverse</v>
      </c>
      <c r="F989">
        <v>17</v>
      </c>
      <c r="G989">
        <v>27000</v>
      </c>
      <c r="H989" s="1">
        <v>42204</v>
      </c>
      <c r="I989">
        <v>1</v>
      </c>
      <c r="J989" t="s">
        <v>21</v>
      </c>
      <c r="K989">
        <f t="shared" si="137"/>
        <v>1</v>
      </c>
      <c r="L989">
        <f t="shared" si="138"/>
        <v>3.7037037037037037E-5</v>
      </c>
      <c r="M989" t="b">
        <f t="shared" si="139"/>
        <v>1</v>
      </c>
      <c r="N989" t="b">
        <f t="shared" si="140"/>
        <v>1</v>
      </c>
      <c r="O989" t="s">
        <v>835</v>
      </c>
      <c r="P989">
        <f t="shared" si="141"/>
        <v>5.5555555555555525E-2</v>
      </c>
      <c r="Q989">
        <f t="shared" si="142"/>
        <v>0</v>
      </c>
      <c r="R989">
        <f t="shared" si="143"/>
        <v>3.3333333333333312E-2</v>
      </c>
    </row>
    <row r="990" spans="1:18" hidden="1">
      <c r="A990" t="s">
        <v>1023</v>
      </c>
      <c r="B990" t="s">
        <v>19</v>
      </c>
      <c r="C990" t="str">
        <f t="shared" si="135"/>
        <v>Research &amp; Department</v>
      </c>
      <c r="D990" t="s">
        <v>27</v>
      </c>
      <c r="E990" t="str">
        <f t="shared" si="136"/>
        <v>Technova</v>
      </c>
      <c r="F990">
        <v>3</v>
      </c>
      <c r="G990">
        <v>27000</v>
      </c>
      <c r="H990" s="1">
        <v>44177</v>
      </c>
      <c r="I990">
        <v>1</v>
      </c>
      <c r="J990" t="s">
        <v>21</v>
      </c>
      <c r="K990">
        <f t="shared" si="137"/>
        <v>1</v>
      </c>
      <c r="L990">
        <f t="shared" si="138"/>
        <v>3.7037037037037037E-5</v>
      </c>
      <c r="M990" t="b">
        <f t="shared" si="139"/>
        <v>0</v>
      </c>
      <c r="N990" t="b">
        <f t="shared" si="140"/>
        <v>0</v>
      </c>
      <c r="O990" t="s">
        <v>835</v>
      </c>
      <c r="P990">
        <f t="shared" si="141"/>
        <v>5.5555555555555525E-2</v>
      </c>
      <c r="Q990">
        <f t="shared" si="142"/>
        <v>0</v>
      </c>
      <c r="R990">
        <f t="shared" si="143"/>
        <v>3.3333333333333312E-2</v>
      </c>
    </row>
    <row r="991" spans="1:18" hidden="1">
      <c r="A991" t="s">
        <v>1024</v>
      </c>
      <c r="B991" t="s">
        <v>70</v>
      </c>
      <c r="C991" t="str">
        <f t="shared" si="135"/>
        <v>Customer Experience</v>
      </c>
      <c r="D991" t="s">
        <v>27</v>
      </c>
      <c r="E991" t="str">
        <f t="shared" si="136"/>
        <v>Technova</v>
      </c>
      <c r="F991">
        <v>25</v>
      </c>
      <c r="G991">
        <v>81000</v>
      </c>
      <c r="H991" s="1">
        <v>38623</v>
      </c>
      <c r="I991">
        <v>1</v>
      </c>
      <c r="J991" t="s">
        <v>174</v>
      </c>
      <c r="K991">
        <f t="shared" si="137"/>
        <v>3</v>
      </c>
      <c r="L991">
        <f t="shared" si="138"/>
        <v>3.7037037037037037E-5</v>
      </c>
      <c r="M991" t="b">
        <f t="shared" si="139"/>
        <v>1</v>
      </c>
      <c r="N991" t="b">
        <f t="shared" si="140"/>
        <v>1</v>
      </c>
      <c r="O991" t="s">
        <v>835</v>
      </c>
      <c r="P991">
        <f t="shared" si="141"/>
        <v>5.5555555555555525E-2</v>
      </c>
      <c r="Q991">
        <f t="shared" si="142"/>
        <v>0</v>
      </c>
      <c r="R991">
        <f t="shared" si="143"/>
        <v>3.3333333333333312E-2</v>
      </c>
    </row>
    <row r="992" spans="1:18" hidden="1">
      <c r="A992" t="s">
        <v>1025</v>
      </c>
      <c r="B992" t="s">
        <v>70</v>
      </c>
      <c r="C992" t="str">
        <f t="shared" si="135"/>
        <v>Customer Experience</v>
      </c>
      <c r="D992" t="s">
        <v>27</v>
      </c>
      <c r="E992" t="str">
        <f t="shared" si="136"/>
        <v>Technova</v>
      </c>
      <c r="F992">
        <v>13</v>
      </c>
      <c r="G992">
        <v>81000</v>
      </c>
      <c r="H992" s="1">
        <v>40054</v>
      </c>
      <c r="I992">
        <v>1</v>
      </c>
      <c r="J992" t="s">
        <v>174</v>
      </c>
      <c r="K992">
        <f t="shared" si="137"/>
        <v>3</v>
      </c>
      <c r="L992">
        <f t="shared" si="138"/>
        <v>3.7037037037037037E-5</v>
      </c>
      <c r="M992" t="b">
        <f t="shared" si="139"/>
        <v>0</v>
      </c>
      <c r="N992" t="b">
        <f t="shared" si="140"/>
        <v>1</v>
      </c>
      <c r="O992" t="s">
        <v>835</v>
      </c>
      <c r="P992">
        <f t="shared" si="141"/>
        <v>5.5555555555555525E-2</v>
      </c>
      <c r="Q992">
        <f t="shared" si="142"/>
        <v>0</v>
      </c>
      <c r="R992">
        <f t="shared" si="143"/>
        <v>3.3333333333333312E-2</v>
      </c>
    </row>
    <row r="993" spans="1:18" hidden="1">
      <c r="A993" t="s">
        <v>1026</v>
      </c>
      <c r="B993" t="s">
        <v>25</v>
      </c>
      <c r="C993" t="str">
        <f t="shared" si="135"/>
        <v>Sales &amp; Marketing</v>
      </c>
      <c r="D993" t="s">
        <v>20</v>
      </c>
      <c r="E993" t="str">
        <f t="shared" si="136"/>
        <v>Dataverse</v>
      </c>
      <c r="F993">
        <v>12</v>
      </c>
      <c r="G993">
        <v>27000</v>
      </c>
      <c r="H993" s="1">
        <v>44895</v>
      </c>
      <c r="I993">
        <v>1</v>
      </c>
      <c r="J993" t="s">
        <v>21</v>
      </c>
      <c r="K993">
        <f t="shared" si="137"/>
        <v>1</v>
      </c>
      <c r="L993">
        <f t="shared" si="138"/>
        <v>3.7037037037037037E-5</v>
      </c>
      <c r="M993" t="b">
        <f t="shared" si="139"/>
        <v>0</v>
      </c>
      <c r="N993" t="b">
        <f t="shared" si="140"/>
        <v>1</v>
      </c>
      <c r="O993" t="s">
        <v>835</v>
      </c>
      <c r="P993">
        <f t="shared" si="141"/>
        <v>5.5555555555555525E-2</v>
      </c>
      <c r="Q993">
        <f t="shared" si="142"/>
        <v>0</v>
      </c>
      <c r="R993">
        <f t="shared" si="143"/>
        <v>3.3333333333333312E-2</v>
      </c>
    </row>
    <row r="994" spans="1:18" hidden="1">
      <c r="A994" t="s">
        <v>1027</v>
      </c>
      <c r="B994" t="s">
        <v>19</v>
      </c>
      <c r="C994" t="str">
        <f t="shared" si="135"/>
        <v>Research &amp; Department</v>
      </c>
      <c r="D994" t="s">
        <v>20</v>
      </c>
      <c r="E994" t="str">
        <f t="shared" si="136"/>
        <v>Dataverse</v>
      </c>
      <c r="F994">
        <v>17</v>
      </c>
      <c r="G994">
        <v>28000</v>
      </c>
      <c r="H994" s="1">
        <v>38835</v>
      </c>
      <c r="I994">
        <v>1</v>
      </c>
      <c r="J994" t="s">
        <v>21</v>
      </c>
      <c r="K994">
        <f t="shared" si="137"/>
        <v>1</v>
      </c>
      <c r="L994">
        <f t="shared" si="138"/>
        <v>3.5714285714285717E-5</v>
      </c>
      <c r="M994" t="b">
        <f t="shared" si="139"/>
        <v>1</v>
      </c>
      <c r="N994" t="b">
        <f t="shared" si="140"/>
        <v>1</v>
      </c>
      <c r="O994" t="s">
        <v>835</v>
      </c>
      <c r="P994">
        <f t="shared" si="141"/>
        <v>3.5714285714285726E-2</v>
      </c>
      <c r="Q994">
        <f t="shared" si="142"/>
        <v>0</v>
      </c>
      <c r="R994">
        <f t="shared" si="143"/>
        <v>2.1428571428571436E-2</v>
      </c>
    </row>
    <row r="995" spans="1:18" hidden="1">
      <c r="A995" t="s">
        <v>1028</v>
      </c>
      <c r="B995" t="s">
        <v>70</v>
      </c>
      <c r="C995" t="str">
        <f t="shared" si="135"/>
        <v>Customer Experience</v>
      </c>
      <c r="D995" t="s">
        <v>20</v>
      </c>
      <c r="E995" t="str">
        <f t="shared" si="136"/>
        <v>Dataverse</v>
      </c>
      <c r="F995">
        <v>10</v>
      </c>
      <c r="G995">
        <v>84000</v>
      </c>
      <c r="H995" s="1">
        <v>45162</v>
      </c>
      <c r="I995">
        <v>1</v>
      </c>
      <c r="J995" t="s">
        <v>174</v>
      </c>
      <c r="K995">
        <f t="shared" si="137"/>
        <v>3</v>
      </c>
      <c r="L995">
        <f t="shared" si="138"/>
        <v>3.5714285714285717E-5</v>
      </c>
      <c r="M995" t="b">
        <f t="shared" si="139"/>
        <v>0</v>
      </c>
      <c r="N995" t="b">
        <f t="shared" si="140"/>
        <v>1</v>
      </c>
      <c r="O995" t="s">
        <v>835</v>
      </c>
      <c r="P995">
        <f t="shared" si="141"/>
        <v>3.5714285714285726E-2</v>
      </c>
      <c r="Q995">
        <f t="shared" si="142"/>
        <v>0</v>
      </c>
      <c r="R995">
        <f t="shared" si="143"/>
        <v>2.1428571428571436E-2</v>
      </c>
    </row>
    <row r="996" spans="1:18" hidden="1">
      <c r="A996" t="s">
        <v>1029</v>
      </c>
      <c r="B996" t="s">
        <v>25</v>
      </c>
      <c r="C996" t="str">
        <f t="shared" si="135"/>
        <v>Sales &amp; Marketing</v>
      </c>
      <c r="D996" t="s">
        <v>20</v>
      </c>
      <c r="E996" t="str">
        <f t="shared" si="136"/>
        <v>Dataverse</v>
      </c>
      <c r="F996">
        <v>20</v>
      </c>
      <c r="G996">
        <v>28000</v>
      </c>
      <c r="H996" s="1">
        <v>41930</v>
      </c>
      <c r="I996">
        <v>1</v>
      </c>
      <c r="J996" t="s">
        <v>21</v>
      </c>
      <c r="K996">
        <f t="shared" si="137"/>
        <v>1</v>
      </c>
      <c r="L996">
        <f t="shared" si="138"/>
        <v>3.5714285714285717E-5</v>
      </c>
      <c r="M996" t="b">
        <f t="shared" si="139"/>
        <v>1</v>
      </c>
      <c r="N996" t="b">
        <f t="shared" si="140"/>
        <v>1</v>
      </c>
      <c r="O996" t="s">
        <v>835</v>
      </c>
      <c r="P996">
        <f t="shared" si="141"/>
        <v>3.5714285714285726E-2</v>
      </c>
      <c r="Q996">
        <f t="shared" si="142"/>
        <v>0</v>
      </c>
      <c r="R996">
        <f t="shared" si="143"/>
        <v>2.1428571428571436E-2</v>
      </c>
    </row>
    <row r="997" spans="1:18" hidden="1">
      <c r="A997" t="s">
        <v>1030</v>
      </c>
      <c r="B997" t="s">
        <v>19</v>
      </c>
      <c r="C997" t="str">
        <f t="shared" si="135"/>
        <v>Research &amp; Department</v>
      </c>
      <c r="D997" t="s">
        <v>27</v>
      </c>
      <c r="E997" t="str">
        <f t="shared" si="136"/>
        <v>Technova</v>
      </c>
      <c r="F997">
        <v>25</v>
      </c>
      <c r="G997">
        <v>29000</v>
      </c>
      <c r="H997" s="1">
        <v>43559</v>
      </c>
      <c r="I997">
        <v>1</v>
      </c>
      <c r="J997" t="s">
        <v>21</v>
      </c>
      <c r="K997">
        <f t="shared" si="137"/>
        <v>1</v>
      </c>
      <c r="L997">
        <f t="shared" si="138"/>
        <v>3.4482758620689657E-5</v>
      </c>
      <c r="M997" t="b">
        <f t="shared" si="139"/>
        <v>1</v>
      </c>
      <c r="N997" t="b">
        <f t="shared" si="140"/>
        <v>1</v>
      </c>
      <c r="O997" t="s">
        <v>835</v>
      </c>
      <c r="P997">
        <f t="shared" si="141"/>
        <v>1.7241379310344824E-2</v>
      </c>
      <c r="Q997">
        <f t="shared" si="142"/>
        <v>0</v>
      </c>
      <c r="R997">
        <f t="shared" si="143"/>
        <v>1.0344827586206895E-2</v>
      </c>
    </row>
    <row r="998" spans="1:18" hidden="1">
      <c r="A998" t="s">
        <v>1031</v>
      </c>
      <c r="B998" t="s">
        <v>25</v>
      </c>
      <c r="C998" t="str">
        <f t="shared" si="135"/>
        <v>Sales &amp; Marketing</v>
      </c>
      <c r="D998" t="s">
        <v>20</v>
      </c>
      <c r="E998" t="str">
        <f t="shared" si="136"/>
        <v>Dataverse</v>
      </c>
      <c r="F998">
        <v>24</v>
      </c>
      <c r="G998">
        <v>29000</v>
      </c>
      <c r="H998" s="1">
        <v>45001</v>
      </c>
      <c r="I998">
        <v>1</v>
      </c>
      <c r="J998" t="s">
        <v>21</v>
      </c>
      <c r="K998">
        <f t="shared" si="137"/>
        <v>1</v>
      </c>
      <c r="L998">
        <f t="shared" si="138"/>
        <v>3.4482758620689657E-5</v>
      </c>
      <c r="M998" t="b">
        <f t="shared" si="139"/>
        <v>1</v>
      </c>
      <c r="N998" t="b">
        <f t="shared" si="140"/>
        <v>1</v>
      </c>
      <c r="O998" t="s">
        <v>835</v>
      </c>
      <c r="P998">
        <f t="shared" si="141"/>
        <v>1.7241379310344824E-2</v>
      </c>
      <c r="Q998">
        <f t="shared" si="142"/>
        <v>0</v>
      </c>
      <c r="R998">
        <f t="shared" si="143"/>
        <v>1.0344827586206895E-2</v>
      </c>
    </row>
    <row r="999" spans="1:18" hidden="1">
      <c r="A999" t="s">
        <v>1032</v>
      </c>
      <c r="B999" t="s">
        <v>25</v>
      </c>
      <c r="C999" t="str">
        <f t="shared" si="135"/>
        <v>Sales &amp; Marketing</v>
      </c>
      <c r="D999" t="s">
        <v>27</v>
      </c>
      <c r="E999" t="str">
        <f t="shared" si="136"/>
        <v>Technova</v>
      </c>
      <c r="F999">
        <v>13</v>
      </c>
      <c r="G999">
        <v>29000</v>
      </c>
      <c r="H999" s="1">
        <v>39178</v>
      </c>
      <c r="I999">
        <v>1</v>
      </c>
      <c r="J999" t="s">
        <v>21</v>
      </c>
      <c r="K999">
        <f t="shared" si="137"/>
        <v>1</v>
      </c>
      <c r="L999">
        <f t="shared" si="138"/>
        <v>3.4482758620689657E-5</v>
      </c>
      <c r="M999" t="b">
        <f t="shared" si="139"/>
        <v>0</v>
      </c>
      <c r="N999" t="b">
        <f t="shared" si="140"/>
        <v>1</v>
      </c>
      <c r="O999" t="s">
        <v>835</v>
      </c>
      <c r="P999">
        <f t="shared" si="141"/>
        <v>1.7241379310344824E-2</v>
      </c>
      <c r="Q999">
        <f t="shared" si="142"/>
        <v>0</v>
      </c>
      <c r="R999">
        <f t="shared" si="143"/>
        <v>1.0344827586206895E-2</v>
      </c>
    </row>
    <row r="1000" spans="1:18" hidden="1">
      <c r="A1000" t="s">
        <v>1033</v>
      </c>
      <c r="B1000" t="s">
        <v>19</v>
      </c>
      <c r="C1000" t="str">
        <f t="shared" si="135"/>
        <v>Research &amp; Department</v>
      </c>
      <c r="D1000" t="s">
        <v>20</v>
      </c>
      <c r="E1000" t="str">
        <f t="shared" si="136"/>
        <v>Dataverse</v>
      </c>
      <c r="F1000">
        <v>13</v>
      </c>
      <c r="G1000">
        <v>30000</v>
      </c>
      <c r="H1000" s="1">
        <v>40114</v>
      </c>
      <c r="I1000">
        <v>1</v>
      </c>
      <c r="J1000" t="s">
        <v>21</v>
      </c>
      <c r="K1000">
        <f t="shared" si="137"/>
        <v>1</v>
      </c>
      <c r="L1000">
        <f t="shared" si="138"/>
        <v>3.3333333333333335E-5</v>
      </c>
      <c r="M1000" t="b">
        <f t="shared" si="139"/>
        <v>0</v>
      </c>
      <c r="N1000" t="b">
        <f t="shared" si="140"/>
        <v>1</v>
      </c>
      <c r="O1000" t="s">
        <v>835</v>
      </c>
      <c r="P1000">
        <f t="shared" si="141"/>
        <v>0</v>
      </c>
      <c r="Q1000">
        <f t="shared" si="142"/>
        <v>0</v>
      </c>
      <c r="R1000">
        <f t="shared" si="143"/>
        <v>0</v>
      </c>
    </row>
    <row r="1001" spans="1:18" hidden="1">
      <c r="A1001" t="s">
        <v>1034</v>
      </c>
      <c r="B1001" t="s">
        <v>25</v>
      </c>
      <c r="C1001" t="str">
        <f t="shared" si="135"/>
        <v>Sales &amp; Marketing</v>
      </c>
      <c r="D1001" t="s">
        <v>20</v>
      </c>
      <c r="E1001" t="str">
        <f t="shared" si="136"/>
        <v>Dataverse</v>
      </c>
      <c r="F1001">
        <v>1</v>
      </c>
      <c r="G1001">
        <v>30000</v>
      </c>
      <c r="H1001" s="1">
        <v>41357</v>
      </c>
      <c r="I1001">
        <v>1</v>
      </c>
      <c r="J1001" t="s">
        <v>21</v>
      </c>
      <c r="K1001">
        <f t="shared" si="137"/>
        <v>1</v>
      </c>
      <c r="L1001">
        <f t="shared" si="138"/>
        <v>3.3333333333333335E-5</v>
      </c>
      <c r="M1001" t="b">
        <f t="shared" si="139"/>
        <v>0</v>
      </c>
      <c r="N1001" t="b">
        <f t="shared" si="140"/>
        <v>0</v>
      </c>
      <c r="O1001" t="s">
        <v>835</v>
      </c>
      <c r="P1001">
        <f t="shared" si="141"/>
        <v>0</v>
      </c>
      <c r="Q1001">
        <f t="shared" si="142"/>
        <v>0</v>
      </c>
      <c r="R1001">
        <f t="shared" si="143"/>
        <v>0</v>
      </c>
    </row>
  </sheetData>
  <autoFilter ref="A1:R1001" xr:uid="{83C5E402-D13A-47E0-9145-2E77C1625BE9}">
    <filterColumn colId="14">
      <filters>
        <filter val="Retain"/>
      </filters>
    </filterColumn>
    <sortState xmlns:xlrd2="http://schemas.microsoft.com/office/spreadsheetml/2017/richdata2" ref="A2:R1001">
      <sortCondition descending="1" ref="R1:R1001"/>
    </sortState>
  </autoFilter>
  <sortState xmlns:xlrd2="http://schemas.microsoft.com/office/spreadsheetml/2017/richdata2" ref="A2:R1001">
    <sortCondition ref="A2:A100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36BA4-4F96-42C6-A244-A8CE0BD615C2}">
  <dimension ref="A1:E31"/>
  <sheetViews>
    <sheetView workbookViewId="0">
      <selection activeCell="E4" sqref="E4"/>
    </sheetView>
  </sheetViews>
  <sheetFormatPr defaultRowHeight="14.4"/>
  <cols>
    <col min="1" max="1" width="32.109375" customWidth="1"/>
    <col min="2" max="2" width="65.44140625" customWidth="1"/>
    <col min="3" max="3" width="22.33203125" bestFit="1" customWidth="1"/>
    <col min="4" max="4" width="35" customWidth="1"/>
    <col min="5" max="5" width="80.88671875" customWidth="1"/>
  </cols>
  <sheetData>
    <row r="1" spans="1:5">
      <c r="A1" s="3" t="s">
        <v>1035</v>
      </c>
      <c r="B1" s="3" t="s">
        <v>1036</v>
      </c>
      <c r="D1" s="3" t="s">
        <v>1035</v>
      </c>
      <c r="E1" s="3" t="s">
        <v>1036</v>
      </c>
    </row>
    <row r="2" spans="1:5">
      <c r="A2" s="3" t="s">
        <v>1037</v>
      </c>
      <c r="B2" s="4"/>
      <c r="D2" s="3" t="s">
        <v>1037</v>
      </c>
      <c r="E2" s="4"/>
    </row>
    <row r="3" spans="1:5">
      <c r="A3" s="4" t="s">
        <v>1038</v>
      </c>
      <c r="B3" s="5">
        <f>COUNTA(EmployeeData!A:A)-1</f>
        <v>1000</v>
      </c>
      <c r="D3" s="4" t="s">
        <v>1039</v>
      </c>
      <c r="E3" s="5">
        <f>COUNTIF(EmployeeData!O:O,"Retain")</f>
        <v>800</v>
      </c>
    </row>
    <row r="4" spans="1:5">
      <c r="A4" s="4" t="s">
        <v>1040</v>
      </c>
      <c r="B4" s="5">
        <f>SUM(EmployeeData!G:G)</f>
        <v>40946000</v>
      </c>
      <c r="D4" s="4" t="s">
        <v>1041</v>
      </c>
      <c r="E4" s="5">
        <f>SUMIF(EmployeeData!O:O,"Retain",EmployeeData!G:G)</f>
        <v>31406000</v>
      </c>
    </row>
    <row r="5" spans="1:5">
      <c r="A5" s="4" t="s">
        <v>1042</v>
      </c>
      <c r="B5" s="5">
        <f>SUM(EmployeeData!K:K)</f>
        <v>1919</v>
      </c>
      <c r="D5" s="4" t="s">
        <v>1043</v>
      </c>
      <c r="E5" s="5">
        <f>SUMIF(EmployeeData!O:O,"Retain",EmployeeData!K:K)</f>
        <v>1520</v>
      </c>
    </row>
    <row r="6" spans="1:5">
      <c r="A6" s="6" t="s">
        <v>1044</v>
      </c>
      <c r="B6" s="7">
        <f>B5/B4</f>
        <v>4.6866604796561324E-5</v>
      </c>
      <c r="D6" s="6" t="s">
        <v>1045</v>
      </c>
      <c r="E6" s="7">
        <f>IFERROR(E5/E4, 0)</f>
        <v>4.8398395211106157E-5</v>
      </c>
    </row>
    <row r="7" spans="1:5">
      <c r="A7" s="8"/>
      <c r="B7" s="8" t="s">
        <v>1046</v>
      </c>
      <c r="D7" s="8"/>
      <c r="E7" s="8" t="s">
        <v>1047</v>
      </c>
    </row>
    <row r="8" spans="1:5">
      <c r="A8" s="3" t="s">
        <v>1048</v>
      </c>
      <c r="B8" s="4"/>
      <c r="D8" s="3" t="s">
        <v>1048</v>
      </c>
      <c r="E8" s="4"/>
    </row>
    <row r="9" spans="1:5">
      <c r="A9" s="4" t="s">
        <v>1049</v>
      </c>
      <c r="B9" s="5">
        <f>COUNTIF(EmployeeData!J:J, "A")</f>
        <v>159</v>
      </c>
      <c r="D9" s="4" t="s">
        <v>1050</v>
      </c>
      <c r="E9" s="5">
        <f>COUNTIFS(EmployeeData!J:J,"A",EmployeeData!O:O,"Retain")</f>
        <v>109</v>
      </c>
    </row>
    <row r="10" spans="1:5">
      <c r="A10" s="4" t="s">
        <v>1051</v>
      </c>
      <c r="B10" s="5">
        <f>COUNTIF(EmployeeData!J:J, "B")</f>
        <v>601</v>
      </c>
      <c r="D10" s="4" t="s">
        <v>1052</v>
      </c>
      <c r="E10" s="5">
        <f>COUNTIFS(EmployeeData!J:J,"B",EmployeeData!O:O,"Retain")</f>
        <v>502</v>
      </c>
    </row>
    <row r="11" spans="1:5">
      <c r="A11" s="4" t="s">
        <v>1053</v>
      </c>
      <c r="B11" s="5">
        <f>COUNTIF(EmployeeData!J:J, "C")</f>
        <v>240</v>
      </c>
      <c r="D11" s="4" t="s">
        <v>1054</v>
      </c>
      <c r="E11" s="5">
        <f>COUNTIFS(EmployeeData!J:J,"C",EmployeeData!O:O,"Retain")</f>
        <v>189</v>
      </c>
    </row>
    <row r="12" spans="1:5">
      <c r="A12" s="3" t="s">
        <v>1055</v>
      </c>
      <c r="B12" s="4"/>
      <c r="D12" s="3" t="s">
        <v>1055</v>
      </c>
      <c r="E12" s="4"/>
    </row>
    <row r="13" spans="1:5">
      <c r="A13" s="4" t="s">
        <v>1056</v>
      </c>
      <c r="B13" s="5">
        <f>COUNTIF(EmployeeData!M:M, TRUE)</f>
        <v>399</v>
      </c>
      <c r="D13" s="4" t="s">
        <v>1057</v>
      </c>
      <c r="E13" s="5">
        <f>COUNTIFS(EmployeeData!M:M,TRUE,EmployeeData!O:O,"Retain")</f>
        <v>331</v>
      </c>
    </row>
    <row r="14" spans="1:5">
      <c r="A14" s="4" t="s">
        <v>1058</v>
      </c>
      <c r="B14" s="5">
        <f>COUNTIF(EmployeeData!N:N, TRUE)</f>
        <v>801</v>
      </c>
      <c r="D14" s="4" t="s">
        <v>1059</v>
      </c>
      <c r="E14" s="5">
        <f>COUNTIFS(EmployeeData!N:N,TRUE,EmployeeData!O:O,"Retain")</f>
        <v>638</v>
      </c>
    </row>
    <row r="15" spans="1:5">
      <c r="A15" s="3" t="s">
        <v>1060</v>
      </c>
      <c r="B15" s="4"/>
      <c r="D15" s="3" t="s">
        <v>1061</v>
      </c>
      <c r="E15" s="4"/>
    </row>
    <row r="16" spans="1:5">
      <c r="A16" s="4" t="s">
        <v>1062</v>
      </c>
      <c r="B16" s="5">
        <f>SUMIF(EmployeeData!E:E, "Technova", EmployeeData!K:K)</f>
        <v>1028</v>
      </c>
      <c r="D16" s="4" t="s">
        <v>1063</v>
      </c>
      <c r="E16" s="5">
        <f>SUMIFS(EmployeeData!K:K,EmployeeData!E:E,"Technova",EmployeeData!O:O,"Retain")</f>
        <v>809</v>
      </c>
    </row>
    <row r="17" spans="1:5">
      <c r="A17" s="4" t="s">
        <v>1064</v>
      </c>
      <c r="B17" s="5">
        <f>SUMIF(EmployeeData!E:E, "Dataverse", EmployeeData!K:K)</f>
        <v>891</v>
      </c>
      <c r="D17" s="4" t="s">
        <v>1065</v>
      </c>
      <c r="E17" s="5">
        <f>SUMIFS(EmployeeData!K:K,EmployeeData!E:E,"Dataverse",EmployeeData!O:O,"Retain")</f>
        <v>711</v>
      </c>
    </row>
    <row r="20" spans="1:5">
      <c r="B20" s="4"/>
      <c r="C20" s="3" t="s">
        <v>6</v>
      </c>
    </row>
    <row r="21" spans="1:5">
      <c r="B21" s="3" t="s">
        <v>1066</v>
      </c>
      <c r="C21" s="10">
        <f>B4</f>
        <v>40946000</v>
      </c>
    </row>
    <row r="22" spans="1:5">
      <c r="B22" s="3" t="s">
        <v>1067</v>
      </c>
      <c r="C22" s="10">
        <f>E4</f>
        <v>31406000</v>
      </c>
    </row>
    <row r="24" spans="1:5">
      <c r="B24" s="11" t="s">
        <v>1080</v>
      </c>
      <c r="C24" s="11" t="s">
        <v>1081</v>
      </c>
    </row>
    <row r="25" spans="1:5">
      <c r="B25" s="12" t="s">
        <v>1082</v>
      </c>
      <c r="C25" s="14">
        <f>E13</f>
        <v>331</v>
      </c>
    </row>
    <row r="26" spans="1:5">
      <c r="B26" s="12" t="s">
        <v>1084</v>
      </c>
      <c r="C26" s="14">
        <f>E14-E13</f>
        <v>307</v>
      </c>
    </row>
    <row r="27" spans="1:5">
      <c r="B27" s="12" t="s">
        <v>1086</v>
      </c>
      <c r="C27" s="14">
        <f>E3-E14</f>
        <v>162</v>
      </c>
    </row>
    <row r="29" spans="1:5">
      <c r="B29" s="12"/>
      <c r="C29" s="11" t="s">
        <v>1088</v>
      </c>
    </row>
    <row r="30" spans="1:5">
      <c r="B30" s="11" t="s">
        <v>1066</v>
      </c>
      <c r="C30" s="15">
        <f>B6</f>
        <v>4.6866604796561324E-5</v>
      </c>
    </row>
    <row r="31" spans="1:5">
      <c r="B31" s="11" t="s">
        <v>1067</v>
      </c>
      <c r="C31" s="15">
        <f>E6</f>
        <v>4.8398395211106157E-5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E03B0-D20A-4DFD-B7CA-5DAF23C67FA6}">
  <dimension ref="A1:J23"/>
  <sheetViews>
    <sheetView topLeftCell="D1" workbookViewId="0">
      <selection activeCell="G21" sqref="G21:G23"/>
    </sheetView>
  </sheetViews>
  <sheetFormatPr defaultRowHeight="14.4"/>
  <cols>
    <col min="1" max="1" width="26" bestFit="1" customWidth="1"/>
    <col min="2" max="3" width="22.5546875" bestFit="1" customWidth="1"/>
    <col min="4" max="4" width="10.77734375" bestFit="1" customWidth="1"/>
    <col min="6" max="6" width="28.88671875" customWidth="1"/>
    <col min="7" max="7" width="22.109375" customWidth="1"/>
    <col min="8" max="8" width="21.88671875" customWidth="1"/>
    <col min="9" max="9" width="20" customWidth="1"/>
    <col min="10" max="10" width="27" customWidth="1"/>
    <col min="11" max="11" width="13.6640625" customWidth="1"/>
  </cols>
  <sheetData>
    <row r="1" spans="1:10">
      <c r="A1" s="9" t="s">
        <v>14</v>
      </c>
      <c r="B1" t="s">
        <v>22</v>
      </c>
    </row>
    <row r="3" spans="1:10">
      <c r="A3" s="9" t="s">
        <v>1068</v>
      </c>
      <c r="B3" s="9" t="s">
        <v>4</v>
      </c>
      <c r="F3" s="3" t="s">
        <v>1</v>
      </c>
      <c r="G3" s="3" t="s">
        <v>1069</v>
      </c>
      <c r="H3" s="3" t="s">
        <v>1070</v>
      </c>
      <c r="I3" s="3" t="s">
        <v>1071</v>
      </c>
      <c r="J3" s="3" t="s">
        <v>1072</v>
      </c>
    </row>
    <row r="4" spans="1:10">
      <c r="A4" s="9" t="s">
        <v>2</v>
      </c>
      <c r="B4" t="s">
        <v>20</v>
      </c>
      <c r="C4" t="s">
        <v>27</v>
      </c>
      <c r="D4" t="s">
        <v>1073</v>
      </c>
      <c r="F4" s="4" t="s">
        <v>204</v>
      </c>
      <c r="G4" s="4">
        <v>20</v>
      </c>
      <c r="H4" s="4">
        <v>10</v>
      </c>
      <c r="I4" s="4">
        <v>20</v>
      </c>
      <c r="J4" s="4">
        <v>10</v>
      </c>
    </row>
    <row r="5" spans="1:10">
      <c r="A5" t="s">
        <v>60</v>
      </c>
      <c r="B5" s="18">
        <v>94</v>
      </c>
      <c r="C5" s="18">
        <v>79</v>
      </c>
      <c r="D5" s="18">
        <v>173</v>
      </c>
      <c r="F5" s="4" t="s">
        <v>224</v>
      </c>
      <c r="G5" s="4">
        <v>30</v>
      </c>
      <c r="H5" s="4">
        <v>15</v>
      </c>
      <c r="I5" s="4">
        <v>15</v>
      </c>
      <c r="J5" s="4">
        <v>8</v>
      </c>
    </row>
    <row r="6" spans="1:10">
      <c r="A6" t="s">
        <v>1075</v>
      </c>
      <c r="B6" s="18">
        <v>39</v>
      </c>
      <c r="C6" s="18">
        <v>60</v>
      </c>
      <c r="D6" s="18">
        <v>99</v>
      </c>
      <c r="F6" s="4" t="s">
        <v>70</v>
      </c>
      <c r="G6" s="4">
        <v>75</v>
      </c>
      <c r="H6" s="4">
        <v>38</v>
      </c>
      <c r="I6" s="4">
        <v>50</v>
      </c>
      <c r="J6" s="4">
        <v>25</v>
      </c>
    </row>
    <row r="7" spans="1:10">
      <c r="A7" t="s">
        <v>19</v>
      </c>
      <c r="B7" s="18">
        <v>39</v>
      </c>
      <c r="C7" s="18">
        <v>57</v>
      </c>
      <c r="D7" s="18">
        <v>96</v>
      </c>
      <c r="F7" s="4" t="s">
        <v>102</v>
      </c>
      <c r="G7" s="4">
        <v>50</v>
      </c>
      <c r="H7" s="4">
        <v>25</v>
      </c>
      <c r="I7" s="4">
        <v>45</v>
      </c>
      <c r="J7" s="4">
        <v>23</v>
      </c>
    </row>
    <row r="8" spans="1:10">
      <c r="A8" t="s">
        <v>1077</v>
      </c>
      <c r="B8" s="18">
        <v>50</v>
      </c>
      <c r="C8" s="18">
        <v>43</v>
      </c>
      <c r="D8" s="18">
        <v>93</v>
      </c>
      <c r="F8" s="4" t="s">
        <v>74</v>
      </c>
      <c r="G8" s="4">
        <v>40</v>
      </c>
      <c r="H8" s="4">
        <v>20</v>
      </c>
      <c r="I8" s="4">
        <v>30</v>
      </c>
      <c r="J8" s="4">
        <v>15</v>
      </c>
    </row>
    <row r="9" spans="1:10">
      <c r="A9" t="s">
        <v>70</v>
      </c>
      <c r="B9" s="18">
        <v>38</v>
      </c>
      <c r="C9" s="18">
        <v>52</v>
      </c>
      <c r="D9" s="18">
        <v>90</v>
      </c>
      <c r="F9" s="4" t="s">
        <v>1074</v>
      </c>
      <c r="G9" s="4">
        <v>55</v>
      </c>
      <c r="H9" s="4">
        <v>28</v>
      </c>
      <c r="I9" s="4">
        <v>60</v>
      </c>
      <c r="J9" s="4">
        <v>30</v>
      </c>
    </row>
    <row r="10" spans="1:10">
      <c r="A10" t="s">
        <v>102</v>
      </c>
      <c r="B10" s="18">
        <v>40</v>
      </c>
      <c r="C10" s="18">
        <v>37</v>
      </c>
      <c r="D10" s="18">
        <v>77</v>
      </c>
      <c r="F10" s="4" t="s">
        <v>1076</v>
      </c>
      <c r="G10" s="4">
        <v>110</v>
      </c>
      <c r="H10" s="4">
        <v>55</v>
      </c>
      <c r="I10" s="4">
        <v>95</v>
      </c>
      <c r="J10" s="4">
        <v>48</v>
      </c>
    </row>
    <row r="11" spans="1:10">
      <c r="A11" t="s">
        <v>74</v>
      </c>
      <c r="B11" s="18">
        <v>17</v>
      </c>
      <c r="C11" s="18">
        <v>44</v>
      </c>
      <c r="D11" s="18">
        <v>61</v>
      </c>
      <c r="F11" s="4" t="s">
        <v>67</v>
      </c>
      <c r="G11" s="4">
        <v>30</v>
      </c>
      <c r="H11" s="4">
        <v>15</v>
      </c>
      <c r="I11" s="4">
        <v>35</v>
      </c>
      <c r="J11" s="4">
        <v>18</v>
      </c>
    </row>
    <row r="12" spans="1:10">
      <c r="A12" t="s">
        <v>67</v>
      </c>
      <c r="B12" s="18">
        <v>28</v>
      </c>
      <c r="C12" s="18">
        <v>23</v>
      </c>
      <c r="D12" s="18">
        <v>51</v>
      </c>
      <c r="F12" s="4" t="s">
        <v>19</v>
      </c>
      <c r="G12" s="4">
        <v>50</v>
      </c>
      <c r="H12" s="4">
        <v>25</v>
      </c>
      <c r="I12" s="4">
        <v>70</v>
      </c>
      <c r="J12" s="4">
        <v>35</v>
      </c>
    </row>
    <row r="13" spans="1:10">
      <c r="A13" t="s">
        <v>204</v>
      </c>
      <c r="B13" s="18">
        <v>16</v>
      </c>
      <c r="C13" s="18">
        <v>16</v>
      </c>
      <c r="D13" s="18">
        <v>32</v>
      </c>
      <c r="F13" s="4" t="s">
        <v>1077</v>
      </c>
      <c r="G13" s="4">
        <v>75</v>
      </c>
      <c r="H13" s="4">
        <v>38</v>
      </c>
      <c r="I13" s="4">
        <v>45</v>
      </c>
      <c r="J13" s="4">
        <v>23</v>
      </c>
    </row>
    <row r="14" spans="1:10">
      <c r="A14" t="s">
        <v>224</v>
      </c>
      <c r="B14" s="18">
        <v>13</v>
      </c>
      <c r="C14" s="18">
        <v>15</v>
      </c>
      <c r="D14" s="18">
        <v>28</v>
      </c>
    </row>
    <row r="15" spans="1:10">
      <c r="A15" t="s">
        <v>1073</v>
      </c>
      <c r="B15" s="18">
        <v>374</v>
      </c>
      <c r="C15" s="18">
        <v>426</v>
      </c>
      <c r="D15" s="18">
        <v>800</v>
      </c>
    </row>
    <row r="20" spans="2:7">
      <c r="B20" s="11" t="s">
        <v>1078</v>
      </c>
      <c r="C20" s="11" t="s">
        <v>1079</v>
      </c>
      <c r="F20" s="11" t="s">
        <v>1080</v>
      </c>
      <c r="G20" s="11" t="s">
        <v>1081</v>
      </c>
    </row>
    <row r="21" spans="2:7">
      <c r="B21" s="12" t="s">
        <v>1050</v>
      </c>
      <c r="C21" s="12">
        <v>109</v>
      </c>
      <c r="F21" s="12" t="s">
        <v>1082</v>
      </c>
      <c r="G21" s="13" t="s">
        <v>1083</v>
      </c>
    </row>
    <row r="22" spans="2:7">
      <c r="B22" s="12" t="s">
        <v>1054</v>
      </c>
      <c r="C22" s="12">
        <v>189</v>
      </c>
      <c r="F22" s="12" t="s">
        <v>1084</v>
      </c>
      <c r="G22" s="13" t="s">
        <v>1085</v>
      </c>
    </row>
    <row r="23" spans="2:7">
      <c r="B23" s="12" t="s">
        <v>1052</v>
      </c>
      <c r="C23" s="12">
        <v>502</v>
      </c>
      <c r="F23" s="12" t="s">
        <v>1086</v>
      </c>
      <c r="G23" s="13" t="s">
        <v>1087</v>
      </c>
    </row>
  </sheetData>
  <sortState xmlns:xlrd2="http://schemas.microsoft.com/office/spreadsheetml/2017/richdata2" ref="F21:G23">
    <sortCondition ref="G21:G2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183F0-C913-4B0A-9970-68B782CEB72D}">
  <dimension ref="A1"/>
  <sheetViews>
    <sheetView showGridLines="0" zoomScale="78" zoomScaleNormal="55" workbookViewId="0">
      <selection activeCell="J14" sqref="J14"/>
    </sheetView>
  </sheetViews>
  <sheetFormatPr defaultRowHeight="14.4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0100D-2985-4BFD-91A3-14A945E9860A}">
  <dimension ref="A1:J17"/>
  <sheetViews>
    <sheetView tabSelected="1" topLeftCell="J1" workbookViewId="0">
      <selection activeCell="Q24" sqref="Q24"/>
    </sheetView>
  </sheetViews>
  <sheetFormatPr defaultRowHeight="14.4"/>
  <cols>
    <col min="1" max="1" width="26" bestFit="1" customWidth="1"/>
    <col min="2" max="7" width="34.88671875" bestFit="1" customWidth="1"/>
    <col min="8" max="8" width="24.88671875" bestFit="1" customWidth="1"/>
    <col min="9" max="9" width="17.44140625" bestFit="1" customWidth="1"/>
    <col min="10" max="10" width="39.6640625" bestFit="1" customWidth="1"/>
  </cols>
  <sheetData>
    <row r="1" spans="1:10">
      <c r="A1" s="9" t="s">
        <v>14</v>
      </c>
      <c r="B1" t="s">
        <v>22</v>
      </c>
    </row>
    <row r="2" spans="1:10">
      <c r="A2" s="9" t="s">
        <v>9</v>
      </c>
      <c r="B2" t="s">
        <v>1093</v>
      </c>
    </row>
    <row r="4" spans="1:10">
      <c r="B4" s="9" t="s">
        <v>4</v>
      </c>
      <c r="C4" s="9" t="s">
        <v>1094</v>
      </c>
    </row>
    <row r="5" spans="1:10">
      <c r="B5" t="s">
        <v>20</v>
      </c>
      <c r="E5" t="s">
        <v>27</v>
      </c>
      <c r="H5" t="s">
        <v>1095</v>
      </c>
      <c r="I5" t="s">
        <v>1096</v>
      </c>
      <c r="J5" t="s">
        <v>1098</v>
      </c>
    </row>
    <row r="6" spans="1:10">
      <c r="A6" s="9" t="s">
        <v>2</v>
      </c>
      <c r="B6" t="s">
        <v>1068</v>
      </c>
      <c r="C6" t="s">
        <v>1097</v>
      </c>
      <c r="D6" t="s">
        <v>1092</v>
      </c>
      <c r="E6" t="s">
        <v>1068</v>
      </c>
      <c r="F6" t="s">
        <v>1097</v>
      </c>
      <c r="G6" t="s">
        <v>1092</v>
      </c>
    </row>
    <row r="7" spans="1:10">
      <c r="A7" t="s">
        <v>204</v>
      </c>
      <c r="B7" s="18">
        <v>16</v>
      </c>
      <c r="C7" s="18">
        <v>1177000</v>
      </c>
      <c r="D7" s="18">
        <v>0.3822518974901874</v>
      </c>
      <c r="E7" s="18">
        <v>16</v>
      </c>
      <c r="F7" s="18">
        <v>1181000</v>
      </c>
      <c r="G7" s="18">
        <v>0.36619469208314415</v>
      </c>
      <c r="H7" s="18">
        <v>32</v>
      </c>
      <c r="I7" s="18">
        <v>2358000</v>
      </c>
      <c r="J7" s="18">
        <v>0.37422329478666577</v>
      </c>
    </row>
    <row r="8" spans="1:10">
      <c r="A8" t="s">
        <v>224</v>
      </c>
      <c r="B8" s="18">
        <v>13</v>
      </c>
      <c r="C8" s="18">
        <v>968000</v>
      </c>
      <c r="D8" s="18">
        <v>0.41361781031079542</v>
      </c>
      <c r="E8" s="18">
        <v>15</v>
      </c>
      <c r="F8" s="18">
        <v>1066000</v>
      </c>
      <c r="G8" s="18">
        <v>0.33821393539521211</v>
      </c>
      <c r="H8" s="18">
        <v>28</v>
      </c>
      <c r="I8" s="18">
        <v>2034000</v>
      </c>
      <c r="J8" s="18">
        <v>0.37322287732030424</v>
      </c>
    </row>
    <row r="9" spans="1:10">
      <c r="A9" t="s">
        <v>70</v>
      </c>
      <c r="B9" s="18">
        <v>38</v>
      </c>
      <c r="C9" s="18">
        <v>2309000</v>
      </c>
      <c r="D9" s="18">
        <v>0.35860355537933958</v>
      </c>
      <c r="E9" s="18">
        <v>52</v>
      </c>
      <c r="F9" s="18">
        <v>2991000</v>
      </c>
      <c r="G9" s="18">
        <v>0.37921351534288661</v>
      </c>
      <c r="H9" s="18">
        <v>90</v>
      </c>
      <c r="I9" s="18">
        <v>5300000</v>
      </c>
      <c r="J9" s="18">
        <v>0.37051153224716682</v>
      </c>
    </row>
    <row r="10" spans="1:10">
      <c r="A10" t="s">
        <v>102</v>
      </c>
      <c r="B10" s="18">
        <v>40</v>
      </c>
      <c r="C10" s="18">
        <v>1578000</v>
      </c>
      <c r="D10" s="18">
        <v>0.39446710446787187</v>
      </c>
      <c r="E10" s="18">
        <v>37</v>
      </c>
      <c r="F10" s="18">
        <v>1428000</v>
      </c>
      <c r="G10" s="18">
        <v>0.39676190752070961</v>
      </c>
      <c r="H10" s="18">
        <v>77</v>
      </c>
      <c r="I10" s="18">
        <v>3006000</v>
      </c>
      <c r="J10" s="18">
        <v>0.39556980203871611</v>
      </c>
    </row>
    <row r="11" spans="1:10">
      <c r="A11" t="s">
        <v>74</v>
      </c>
      <c r="B11" s="18">
        <v>17</v>
      </c>
      <c r="C11" s="18">
        <v>667000</v>
      </c>
      <c r="D11" s="18">
        <v>0.37092850228572716</v>
      </c>
      <c r="E11" s="18">
        <v>44</v>
      </c>
      <c r="F11" s="18">
        <v>1747000</v>
      </c>
      <c r="G11" s="18">
        <v>0.40383754936112248</v>
      </c>
      <c r="H11" s="18">
        <v>61</v>
      </c>
      <c r="I11" s="18">
        <v>2414000</v>
      </c>
      <c r="J11" s="18">
        <v>0.39466617558601241</v>
      </c>
    </row>
    <row r="12" spans="1:10">
      <c r="A12" t="s">
        <v>1075</v>
      </c>
      <c r="B12" s="18">
        <v>39</v>
      </c>
      <c r="C12" s="18">
        <v>1524000</v>
      </c>
      <c r="D12" s="18">
        <v>0.41819874545244545</v>
      </c>
      <c r="E12" s="18">
        <v>60</v>
      </c>
      <c r="F12" s="18">
        <v>2362000</v>
      </c>
      <c r="G12" s="18">
        <v>0.42770322131091221</v>
      </c>
      <c r="H12" s="18">
        <v>99</v>
      </c>
      <c r="I12" s="18">
        <v>3886000</v>
      </c>
      <c r="J12" s="18">
        <v>0.4239590338515164</v>
      </c>
    </row>
    <row r="13" spans="1:10">
      <c r="A13" t="s">
        <v>60</v>
      </c>
      <c r="B13" s="18">
        <v>94</v>
      </c>
      <c r="C13" s="18">
        <v>3688000</v>
      </c>
      <c r="D13" s="18">
        <v>0.42033429054989979</v>
      </c>
      <c r="E13" s="18">
        <v>79</v>
      </c>
      <c r="F13" s="18">
        <v>3194000</v>
      </c>
      <c r="G13" s="18">
        <v>0.39743125530051776</v>
      </c>
      <c r="H13" s="18">
        <v>173</v>
      </c>
      <c r="I13" s="18">
        <v>6882000</v>
      </c>
      <c r="J13" s="18">
        <v>0.40987567907763861</v>
      </c>
    </row>
    <row r="14" spans="1:10">
      <c r="A14" t="s">
        <v>67</v>
      </c>
      <c r="B14" s="18">
        <v>28</v>
      </c>
      <c r="C14" s="18">
        <v>1046000</v>
      </c>
      <c r="D14" s="18">
        <v>0.41482485972480482</v>
      </c>
      <c r="E14" s="18">
        <v>23</v>
      </c>
      <c r="F14" s="18">
        <v>937000</v>
      </c>
      <c r="G14" s="18">
        <v>0.3691117327171195</v>
      </c>
      <c r="H14" s="18">
        <v>51</v>
      </c>
      <c r="I14" s="18">
        <v>1983000</v>
      </c>
      <c r="J14" s="18">
        <v>0.39420913578016253</v>
      </c>
    </row>
    <row r="15" spans="1:10">
      <c r="A15" t="s">
        <v>19</v>
      </c>
      <c r="B15" s="18">
        <v>39</v>
      </c>
      <c r="C15" s="18">
        <v>721000</v>
      </c>
      <c r="D15" s="18">
        <v>0.49301401715448689</v>
      </c>
      <c r="E15" s="18">
        <v>57</v>
      </c>
      <c r="F15" s="18">
        <v>1099000</v>
      </c>
      <c r="G15" s="18">
        <v>0.50393898920885039</v>
      </c>
      <c r="H15" s="18">
        <v>96</v>
      </c>
      <c r="I15" s="18">
        <v>1820000</v>
      </c>
      <c r="J15" s="18">
        <v>0.4995007193117651</v>
      </c>
    </row>
    <row r="16" spans="1:10">
      <c r="A16" t="s">
        <v>1077</v>
      </c>
      <c r="B16" s="18">
        <v>50</v>
      </c>
      <c r="C16" s="18">
        <v>981000</v>
      </c>
      <c r="D16" s="18">
        <v>0.46388302929426528</v>
      </c>
      <c r="E16" s="18">
        <v>43</v>
      </c>
      <c r="F16" s="18">
        <v>742000</v>
      </c>
      <c r="G16" s="18">
        <v>0.47178462761500006</v>
      </c>
      <c r="H16" s="18">
        <v>93</v>
      </c>
      <c r="I16" s="18">
        <v>1723000</v>
      </c>
      <c r="J16" s="18">
        <v>0.46753645647482017</v>
      </c>
    </row>
    <row r="17" spans="1:10">
      <c r="A17" t="s">
        <v>1073</v>
      </c>
      <c r="B17" s="18">
        <v>374</v>
      </c>
      <c r="C17" s="18">
        <v>14659000</v>
      </c>
      <c r="D17" s="18">
        <v>0.41995303290438296</v>
      </c>
      <c r="E17" s="18">
        <v>426</v>
      </c>
      <c r="F17" s="18">
        <v>16747000</v>
      </c>
      <c r="G17" s="18">
        <v>0.41704357587906832</v>
      </c>
      <c r="H17" s="18">
        <v>800</v>
      </c>
      <c r="I17" s="18">
        <v>31406000</v>
      </c>
      <c r="J17" s="18">
        <v>0.418403747038403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47DC9-651C-48F8-AB51-C92F81AE128D}">
  <dimension ref="A1:C26"/>
  <sheetViews>
    <sheetView workbookViewId="0"/>
  </sheetViews>
  <sheetFormatPr defaultRowHeight="14.4"/>
  <cols>
    <col min="1" max="1" width="26" bestFit="1" customWidth="1"/>
    <col min="2" max="2" width="20.109375" bestFit="1" customWidth="1"/>
    <col min="3" max="3" width="34.88671875" bestFit="1" customWidth="1"/>
  </cols>
  <sheetData>
    <row r="1" spans="1:3">
      <c r="A1" s="9" t="s">
        <v>14</v>
      </c>
      <c r="B1" t="s">
        <v>22</v>
      </c>
    </row>
    <row r="3" spans="1:3">
      <c r="A3" s="9" t="s">
        <v>2</v>
      </c>
      <c r="B3" t="s">
        <v>1068</v>
      </c>
      <c r="C3" t="s">
        <v>1092</v>
      </c>
    </row>
    <row r="4" spans="1:3">
      <c r="A4" t="s">
        <v>204</v>
      </c>
      <c r="B4" s="18">
        <v>32</v>
      </c>
      <c r="C4" s="18">
        <v>0.37422329478666583</v>
      </c>
    </row>
    <row r="5" spans="1:3">
      <c r="A5" t="s">
        <v>224</v>
      </c>
      <c r="B5" s="18">
        <v>28</v>
      </c>
      <c r="C5" s="18">
        <v>0.3732228773203044</v>
      </c>
    </row>
    <row r="6" spans="1:3">
      <c r="A6" t="s">
        <v>70</v>
      </c>
      <c r="B6" s="18">
        <v>90</v>
      </c>
      <c r="C6" s="18">
        <v>0.37051153224716676</v>
      </c>
    </row>
    <row r="7" spans="1:3">
      <c r="A7" t="s">
        <v>102</v>
      </c>
      <c r="B7" s="18">
        <v>77</v>
      </c>
      <c r="C7" s="18">
        <v>0.39556980203871606</v>
      </c>
    </row>
    <row r="8" spans="1:3">
      <c r="A8" t="s">
        <v>74</v>
      </c>
      <c r="B8" s="18">
        <v>61</v>
      </c>
      <c r="C8" s="18">
        <v>0.39466617558601225</v>
      </c>
    </row>
    <row r="9" spans="1:3">
      <c r="A9" t="s">
        <v>1075</v>
      </c>
      <c r="B9" s="18">
        <v>99</v>
      </c>
      <c r="C9" s="18">
        <v>0.42395903385151618</v>
      </c>
    </row>
    <row r="10" spans="1:3">
      <c r="A10" t="s">
        <v>60</v>
      </c>
      <c r="B10" s="18">
        <v>173</v>
      </c>
      <c r="C10" s="18">
        <v>0.40987567907763833</v>
      </c>
    </row>
    <row r="11" spans="1:3">
      <c r="A11" t="s">
        <v>67</v>
      </c>
      <c r="B11" s="18">
        <v>51</v>
      </c>
      <c r="C11" s="18">
        <v>0.39420913578016259</v>
      </c>
    </row>
    <row r="12" spans="1:3">
      <c r="A12" t="s">
        <v>19</v>
      </c>
      <c r="B12" s="18">
        <v>96</v>
      </c>
      <c r="C12" s="18">
        <v>0.49950071931176526</v>
      </c>
    </row>
    <row r="13" spans="1:3">
      <c r="A13" t="s">
        <v>1077</v>
      </c>
      <c r="B13" s="18">
        <v>93</v>
      </c>
      <c r="C13" s="18">
        <v>0.46753645647481989</v>
      </c>
    </row>
    <row r="14" spans="1:3">
      <c r="A14" t="s">
        <v>1073</v>
      </c>
      <c r="B14" s="18">
        <v>800</v>
      </c>
      <c r="C14" s="18">
        <v>0.41840374703840283</v>
      </c>
    </row>
    <row r="17" spans="1:3">
      <c r="A17" t="s">
        <v>204</v>
      </c>
      <c r="B17">
        <v>32</v>
      </c>
      <c r="C17">
        <v>0.37422329478666583</v>
      </c>
    </row>
    <row r="18" spans="1:3">
      <c r="A18" t="s">
        <v>224</v>
      </c>
      <c r="B18">
        <v>28</v>
      </c>
      <c r="C18">
        <v>0.3732228773203044</v>
      </c>
    </row>
    <row r="19" spans="1:3">
      <c r="A19" t="s">
        <v>70</v>
      </c>
      <c r="B19">
        <v>90</v>
      </c>
      <c r="C19">
        <v>0.37051153224716676</v>
      </c>
    </row>
    <row r="20" spans="1:3">
      <c r="A20" t="s">
        <v>102</v>
      </c>
      <c r="B20">
        <v>77</v>
      </c>
      <c r="C20">
        <v>0.39556980203871606</v>
      </c>
    </row>
    <row r="21" spans="1:3">
      <c r="A21" t="s">
        <v>74</v>
      </c>
      <c r="B21">
        <v>61</v>
      </c>
      <c r="C21">
        <v>0.39466617558601225</v>
      </c>
    </row>
    <row r="22" spans="1:3">
      <c r="A22" t="s">
        <v>1075</v>
      </c>
      <c r="B22">
        <v>99</v>
      </c>
      <c r="C22">
        <v>0.42395903385151618</v>
      </c>
    </row>
    <row r="23" spans="1:3">
      <c r="A23" t="s">
        <v>60</v>
      </c>
      <c r="B23">
        <v>173</v>
      </c>
      <c r="C23">
        <v>0.40987567907763833</v>
      </c>
    </row>
    <row r="24" spans="1:3">
      <c r="A24" t="s">
        <v>67</v>
      </c>
      <c r="B24">
        <v>51</v>
      </c>
      <c r="C24">
        <v>0.39420913578016259</v>
      </c>
    </row>
    <row r="25" spans="1:3">
      <c r="A25" t="s">
        <v>19</v>
      </c>
      <c r="B25">
        <v>96</v>
      </c>
      <c r="C25">
        <v>0.49950071931176526</v>
      </c>
    </row>
    <row r="26" spans="1:3">
      <c r="A26" t="s">
        <v>1077</v>
      </c>
      <c r="B26">
        <v>93</v>
      </c>
      <c r="C26">
        <v>0.46753645647481989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8F34D-3BBA-4E5C-834B-52A64AD476DD}">
  <dimension ref="B2:H3"/>
  <sheetViews>
    <sheetView workbookViewId="0"/>
  </sheetViews>
  <sheetFormatPr defaultRowHeight="14.4"/>
  <cols>
    <col min="2" max="2" width="16.5546875" bestFit="1" customWidth="1"/>
    <col min="4" max="4" width="18.6640625" bestFit="1" customWidth="1"/>
    <col min="6" max="6" width="20" bestFit="1" customWidth="1"/>
    <col min="8" max="8" width="17.33203125" bestFit="1" customWidth="1"/>
  </cols>
  <sheetData>
    <row r="2" spans="2:8">
      <c r="B2" t="s">
        <v>1089</v>
      </c>
      <c r="D2" t="s">
        <v>1039</v>
      </c>
      <c r="F2" t="s">
        <v>1090</v>
      </c>
      <c r="H2" t="s">
        <v>1091</v>
      </c>
    </row>
    <row r="3" spans="2:8">
      <c r="B3" s="17">
        <f>(Analysis!B4-Analysis!E4)/Analysis!B4</f>
        <v>0.23298979143261858</v>
      </c>
      <c r="D3">
        <f>Analysis!E3</f>
        <v>800</v>
      </c>
      <c r="F3" s="16">
        <f>Analysis!E6</f>
        <v>4.8398395211106157E-5</v>
      </c>
      <c r="H3" s="17">
        <f>Analysis!E9/Analysis!B9</f>
        <v>0.68553459119496851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9E49-7CF3-4B15-9FDB-D673ED5BD621}">
  <dimension ref="A1:A800"/>
  <sheetViews>
    <sheetView topLeftCell="E15" workbookViewId="0">
      <selection activeCell="E15" sqref="E15"/>
    </sheetView>
  </sheetViews>
  <sheetFormatPr defaultRowHeight="14.4"/>
  <sheetData>
    <row r="1" spans="1:1">
      <c r="A1" t="s">
        <v>18</v>
      </c>
    </row>
    <row r="2" spans="1:1">
      <c r="A2" t="s">
        <v>23</v>
      </c>
    </row>
    <row r="3" spans="1:1">
      <c r="A3" t="s">
        <v>24</v>
      </c>
    </row>
    <row r="4" spans="1:1">
      <c r="A4" t="s">
        <v>26</v>
      </c>
    </row>
    <row r="5" spans="1:1">
      <c r="A5" t="s">
        <v>28</v>
      </c>
    </row>
    <row r="6" spans="1:1">
      <c r="A6" t="s">
        <v>29</v>
      </c>
    </row>
    <row r="7" spans="1:1">
      <c r="A7" t="s">
        <v>30</v>
      </c>
    </row>
    <row r="8" spans="1:1">
      <c r="A8" t="s">
        <v>31</v>
      </c>
    </row>
    <row r="9" spans="1:1">
      <c r="A9" t="s">
        <v>32</v>
      </c>
    </row>
    <row r="10" spans="1:1">
      <c r="A10" t="s">
        <v>33</v>
      </c>
    </row>
    <row r="11" spans="1:1">
      <c r="A11" t="s">
        <v>34</v>
      </c>
    </row>
    <row r="12" spans="1:1">
      <c r="A12" t="s">
        <v>35</v>
      </c>
    </row>
    <row r="13" spans="1:1">
      <c r="A13" t="s">
        <v>36</v>
      </c>
    </row>
    <row r="14" spans="1:1">
      <c r="A14" t="s">
        <v>37</v>
      </c>
    </row>
    <row r="15" spans="1:1">
      <c r="A15" t="s">
        <v>38</v>
      </c>
    </row>
    <row r="16" spans="1:1">
      <c r="A16" t="s">
        <v>39</v>
      </c>
    </row>
    <row r="17" spans="1:1">
      <c r="A17" t="s">
        <v>40</v>
      </c>
    </row>
    <row r="18" spans="1:1">
      <c r="A18" t="s">
        <v>41</v>
      </c>
    </row>
    <row r="19" spans="1:1">
      <c r="A19" t="s">
        <v>42</v>
      </c>
    </row>
    <row r="20" spans="1:1">
      <c r="A20" t="s">
        <v>43</v>
      </c>
    </row>
    <row r="21" spans="1:1">
      <c r="A21" t="s">
        <v>44</v>
      </c>
    </row>
    <row r="22" spans="1:1">
      <c r="A22" t="s">
        <v>45</v>
      </c>
    </row>
    <row r="23" spans="1:1">
      <c r="A23" t="s">
        <v>46</v>
      </c>
    </row>
    <row r="24" spans="1:1">
      <c r="A24" t="s">
        <v>47</v>
      </c>
    </row>
    <row r="25" spans="1:1">
      <c r="A25" t="s">
        <v>48</v>
      </c>
    </row>
    <row r="26" spans="1:1">
      <c r="A26" t="s">
        <v>49</v>
      </c>
    </row>
    <row r="27" spans="1:1">
      <c r="A27" t="s">
        <v>50</v>
      </c>
    </row>
    <row r="28" spans="1:1">
      <c r="A28" t="s">
        <v>51</v>
      </c>
    </row>
    <row r="29" spans="1:1">
      <c r="A29" t="s">
        <v>52</v>
      </c>
    </row>
    <row r="30" spans="1:1">
      <c r="A30" t="s">
        <v>53</v>
      </c>
    </row>
    <row r="31" spans="1:1">
      <c r="A31" t="s">
        <v>54</v>
      </c>
    </row>
    <row r="32" spans="1:1">
      <c r="A32" t="s">
        <v>55</v>
      </c>
    </row>
    <row r="33" spans="1:1">
      <c r="A33" t="s">
        <v>58</v>
      </c>
    </row>
    <row r="34" spans="1:1">
      <c r="A34" t="s">
        <v>59</v>
      </c>
    </row>
    <row r="35" spans="1:1">
      <c r="A35" t="s">
        <v>61</v>
      </c>
    </row>
    <row r="36" spans="1:1">
      <c r="A36" t="s">
        <v>62</v>
      </c>
    </row>
    <row r="37" spans="1:1">
      <c r="A37" t="s">
        <v>63</v>
      </c>
    </row>
    <row r="38" spans="1:1">
      <c r="A38" t="s">
        <v>64</v>
      </c>
    </row>
    <row r="39" spans="1:1">
      <c r="A39" t="s">
        <v>65</v>
      </c>
    </row>
    <row r="40" spans="1:1">
      <c r="A40" t="s">
        <v>66</v>
      </c>
    </row>
    <row r="41" spans="1:1">
      <c r="A41" t="s">
        <v>68</v>
      </c>
    </row>
    <row r="42" spans="1:1">
      <c r="A42" t="s">
        <v>69</v>
      </c>
    </row>
    <row r="43" spans="1:1">
      <c r="A43" t="s">
        <v>71</v>
      </c>
    </row>
    <row r="44" spans="1:1">
      <c r="A44" t="s">
        <v>72</v>
      </c>
    </row>
    <row r="45" spans="1:1">
      <c r="A45" t="s">
        <v>73</v>
      </c>
    </row>
    <row r="46" spans="1:1">
      <c r="A46" t="s">
        <v>75</v>
      </c>
    </row>
    <row r="47" spans="1:1">
      <c r="A47" t="s">
        <v>76</v>
      </c>
    </row>
    <row r="48" spans="1:1">
      <c r="A48" t="s">
        <v>77</v>
      </c>
    </row>
    <row r="49" spans="1:1">
      <c r="A49" t="s">
        <v>78</v>
      </c>
    </row>
    <row r="50" spans="1:1">
      <c r="A50" t="s">
        <v>79</v>
      </c>
    </row>
    <row r="51" spans="1:1">
      <c r="A51" t="s">
        <v>80</v>
      </c>
    </row>
    <row r="52" spans="1:1">
      <c r="A52" t="s">
        <v>81</v>
      </c>
    </row>
    <row r="53" spans="1:1">
      <c r="A53" t="s">
        <v>82</v>
      </c>
    </row>
    <row r="54" spans="1:1">
      <c r="A54" t="s">
        <v>83</v>
      </c>
    </row>
    <row r="55" spans="1:1">
      <c r="A55" t="s">
        <v>84</v>
      </c>
    </row>
    <row r="56" spans="1:1">
      <c r="A56" t="s">
        <v>85</v>
      </c>
    </row>
    <row r="57" spans="1:1">
      <c r="A57" t="s">
        <v>86</v>
      </c>
    </row>
    <row r="58" spans="1:1">
      <c r="A58" t="s">
        <v>87</v>
      </c>
    </row>
    <row r="59" spans="1:1">
      <c r="A59" t="s">
        <v>88</v>
      </c>
    </row>
    <row r="60" spans="1:1">
      <c r="A60" t="s">
        <v>89</v>
      </c>
    </row>
    <row r="61" spans="1:1">
      <c r="A61" t="s">
        <v>90</v>
      </c>
    </row>
    <row r="62" spans="1:1">
      <c r="A62" t="s">
        <v>91</v>
      </c>
    </row>
    <row r="63" spans="1:1">
      <c r="A63" t="s">
        <v>92</v>
      </c>
    </row>
    <row r="64" spans="1:1">
      <c r="A64" t="s">
        <v>93</v>
      </c>
    </row>
    <row r="65" spans="1:1">
      <c r="A65" t="s">
        <v>94</v>
      </c>
    </row>
    <row r="66" spans="1:1">
      <c r="A66" t="s">
        <v>95</v>
      </c>
    </row>
    <row r="67" spans="1:1">
      <c r="A67" t="s">
        <v>96</v>
      </c>
    </row>
    <row r="68" spans="1:1">
      <c r="A68" t="s">
        <v>97</v>
      </c>
    </row>
    <row r="69" spans="1:1">
      <c r="A69" t="s">
        <v>98</v>
      </c>
    </row>
    <row r="70" spans="1:1">
      <c r="A70" t="s">
        <v>99</v>
      </c>
    </row>
    <row r="71" spans="1:1">
      <c r="A71" t="s">
        <v>100</v>
      </c>
    </row>
    <row r="72" spans="1:1">
      <c r="A72" t="s">
        <v>101</v>
      </c>
    </row>
    <row r="73" spans="1:1">
      <c r="A73" t="s">
        <v>103</v>
      </c>
    </row>
    <row r="74" spans="1:1">
      <c r="A74" t="s">
        <v>104</v>
      </c>
    </row>
    <row r="75" spans="1:1">
      <c r="A75" t="s">
        <v>105</v>
      </c>
    </row>
    <row r="76" spans="1:1">
      <c r="A76" t="s">
        <v>106</v>
      </c>
    </row>
    <row r="77" spans="1:1">
      <c r="A77" t="s">
        <v>107</v>
      </c>
    </row>
    <row r="78" spans="1:1">
      <c r="A78" t="s">
        <v>108</v>
      </c>
    </row>
    <row r="79" spans="1:1">
      <c r="A79" t="s">
        <v>109</v>
      </c>
    </row>
    <row r="80" spans="1:1">
      <c r="A80" t="s">
        <v>110</v>
      </c>
    </row>
    <row r="81" spans="1:1">
      <c r="A81" t="s">
        <v>111</v>
      </c>
    </row>
    <row r="82" spans="1:1">
      <c r="A82" t="s">
        <v>112</v>
      </c>
    </row>
    <row r="83" spans="1:1">
      <c r="A83" t="s">
        <v>113</v>
      </c>
    </row>
    <row r="84" spans="1:1">
      <c r="A84" t="s">
        <v>114</v>
      </c>
    </row>
    <row r="85" spans="1:1">
      <c r="A85" t="s">
        <v>115</v>
      </c>
    </row>
    <row r="86" spans="1:1">
      <c r="A86" t="s">
        <v>116</v>
      </c>
    </row>
    <row r="87" spans="1:1">
      <c r="A87" t="s">
        <v>117</v>
      </c>
    </row>
    <row r="88" spans="1:1">
      <c r="A88" t="s">
        <v>118</v>
      </c>
    </row>
    <row r="89" spans="1:1">
      <c r="A89" t="s">
        <v>119</v>
      </c>
    </row>
    <row r="90" spans="1:1">
      <c r="A90" t="s">
        <v>120</v>
      </c>
    </row>
    <row r="91" spans="1:1">
      <c r="A91" t="s">
        <v>121</v>
      </c>
    </row>
    <row r="92" spans="1:1">
      <c r="A92" t="s">
        <v>122</v>
      </c>
    </row>
    <row r="93" spans="1:1">
      <c r="A93" t="s">
        <v>123</v>
      </c>
    </row>
    <row r="94" spans="1:1">
      <c r="A94" t="s">
        <v>124</v>
      </c>
    </row>
    <row r="95" spans="1:1">
      <c r="A95" t="s">
        <v>125</v>
      </c>
    </row>
    <row r="96" spans="1:1">
      <c r="A96" t="s">
        <v>126</v>
      </c>
    </row>
    <row r="97" spans="1:1">
      <c r="A97" t="s">
        <v>127</v>
      </c>
    </row>
    <row r="98" spans="1:1">
      <c r="A98" t="s">
        <v>128</v>
      </c>
    </row>
    <row r="99" spans="1:1">
      <c r="A99" t="s">
        <v>129</v>
      </c>
    </row>
    <row r="100" spans="1:1">
      <c r="A100" t="s">
        <v>130</v>
      </c>
    </row>
    <row r="101" spans="1:1">
      <c r="A101" t="s">
        <v>131</v>
      </c>
    </row>
    <row r="102" spans="1:1">
      <c r="A102" t="s">
        <v>132</v>
      </c>
    </row>
    <row r="103" spans="1:1">
      <c r="A103" t="s">
        <v>133</v>
      </c>
    </row>
    <row r="104" spans="1:1">
      <c r="A104" t="s">
        <v>134</v>
      </c>
    </row>
    <row r="105" spans="1:1">
      <c r="A105" t="s">
        <v>135</v>
      </c>
    </row>
    <row r="106" spans="1:1">
      <c r="A106" t="s">
        <v>136</v>
      </c>
    </row>
    <row r="107" spans="1:1">
      <c r="A107" t="s">
        <v>137</v>
      </c>
    </row>
    <row r="108" spans="1:1">
      <c r="A108" t="s">
        <v>138</v>
      </c>
    </row>
    <row r="109" spans="1:1">
      <c r="A109" t="s">
        <v>139</v>
      </c>
    </row>
    <row r="110" spans="1:1">
      <c r="A110" t="s">
        <v>140</v>
      </c>
    </row>
    <row r="111" spans="1:1">
      <c r="A111" t="s">
        <v>141</v>
      </c>
    </row>
    <row r="112" spans="1:1">
      <c r="A112" t="s">
        <v>142</v>
      </c>
    </row>
    <row r="113" spans="1:1">
      <c r="A113" t="s">
        <v>143</v>
      </c>
    </row>
    <row r="114" spans="1:1">
      <c r="A114" t="s">
        <v>144</v>
      </c>
    </row>
    <row r="115" spans="1:1">
      <c r="A115" t="s">
        <v>145</v>
      </c>
    </row>
    <row r="116" spans="1:1">
      <c r="A116" t="s">
        <v>146</v>
      </c>
    </row>
    <row r="117" spans="1:1">
      <c r="A117" t="s">
        <v>147</v>
      </c>
    </row>
    <row r="118" spans="1:1">
      <c r="A118" t="s">
        <v>148</v>
      </c>
    </row>
    <row r="119" spans="1:1">
      <c r="A119" t="s">
        <v>149</v>
      </c>
    </row>
    <row r="120" spans="1:1">
      <c r="A120" t="s">
        <v>150</v>
      </c>
    </row>
    <row r="121" spans="1:1">
      <c r="A121" t="s">
        <v>151</v>
      </c>
    </row>
    <row r="122" spans="1:1">
      <c r="A122" t="s">
        <v>152</v>
      </c>
    </row>
    <row r="123" spans="1:1">
      <c r="A123" t="s">
        <v>153</v>
      </c>
    </row>
    <row r="124" spans="1:1">
      <c r="A124" t="s">
        <v>154</v>
      </c>
    </row>
    <row r="125" spans="1:1">
      <c r="A125" t="s">
        <v>155</v>
      </c>
    </row>
    <row r="126" spans="1:1">
      <c r="A126" t="s">
        <v>156</v>
      </c>
    </row>
    <row r="127" spans="1:1">
      <c r="A127" t="s">
        <v>157</v>
      </c>
    </row>
    <row r="128" spans="1:1">
      <c r="A128" t="s">
        <v>158</v>
      </c>
    </row>
    <row r="129" spans="1:1">
      <c r="A129" t="s">
        <v>159</v>
      </c>
    </row>
    <row r="130" spans="1:1">
      <c r="A130" t="s">
        <v>160</v>
      </c>
    </row>
    <row r="131" spans="1:1">
      <c r="A131" t="s">
        <v>161</v>
      </c>
    </row>
    <row r="132" spans="1:1">
      <c r="A132" t="s">
        <v>162</v>
      </c>
    </row>
    <row r="133" spans="1:1">
      <c r="A133" t="s">
        <v>163</v>
      </c>
    </row>
    <row r="134" spans="1:1">
      <c r="A134" t="s">
        <v>164</v>
      </c>
    </row>
    <row r="135" spans="1:1">
      <c r="A135" t="s">
        <v>165</v>
      </c>
    </row>
    <row r="136" spans="1:1">
      <c r="A136" t="s">
        <v>166</v>
      </c>
    </row>
    <row r="137" spans="1:1">
      <c r="A137" t="s">
        <v>167</v>
      </c>
    </row>
    <row r="138" spans="1:1">
      <c r="A138" t="s">
        <v>168</v>
      </c>
    </row>
    <row r="139" spans="1:1">
      <c r="A139" t="s">
        <v>169</v>
      </c>
    </row>
    <row r="140" spans="1:1">
      <c r="A140" t="s">
        <v>170</v>
      </c>
    </row>
    <row r="141" spans="1:1">
      <c r="A141" t="s">
        <v>171</v>
      </c>
    </row>
    <row r="142" spans="1:1">
      <c r="A142" t="s">
        <v>172</v>
      </c>
    </row>
    <row r="143" spans="1:1">
      <c r="A143" t="s">
        <v>173</v>
      </c>
    </row>
    <row r="144" spans="1:1">
      <c r="A144" t="s">
        <v>175</v>
      </c>
    </row>
    <row r="145" spans="1:1">
      <c r="A145" t="s">
        <v>176</v>
      </c>
    </row>
    <row r="146" spans="1:1">
      <c r="A146" t="s">
        <v>177</v>
      </c>
    </row>
    <row r="147" spans="1:1">
      <c r="A147" t="s">
        <v>178</v>
      </c>
    </row>
    <row r="148" spans="1:1">
      <c r="A148" t="s">
        <v>179</v>
      </c>
    </row>
    <row r="149" spans="1:1">
      <c r="A149" t="s">
        <v>180</v>
      </c>
    </row>
    <row r="150" spans="1:1">
      <c r="A150" t="s">
        <v>181</v>
      </c>
    </row>
    <row r="151" spans="1:1">
      <c r="A151" t="s">
        <v>182</v>
      </c>
    </row>
    <row r="152" spans="1:1">
      <c r="A152" t="s">
        <v>183</v>
      </c>
    </row>
    <row r="153" spans="1:1">
      <c r="A153" t="s">
        <v>184</v>
      </c>
    </row>
    <row r="154" spans="1:1">
      <c r="A154" t="s">
        <v>185</v>
      </c>
    </row>
    <row r="155" spans="1:1">
      <c r="A155" t="s">
        <v>186</v>
      </c>
    </row>
    <row r="156" spans="1:1">
      <c r="A156" t="s">
        <v>187</v>
      </c>
    </row>
    <row r="157" spans="1:1">
      <c r="A157" t="s">
        <v>188</v>
      </c>
    </row>
    <row r="158" spans="1:1">
      <c r="A158" t="s">
        <v>189</v>
      </c>
    </row>
    <row r="159" spans="1:1">
      <c r="A159" t="s">
        <v>190</v>
      </c>
    </row>
    <row r="160" spans="1:1">
      <c r="A160" t="s">
        <v>191</v>
      </c>
    </row>
    <row r="161" spans="1:1">
      <c r="A161" t="s">
        <v>192</v>
      </c>
    </row>
    <row r="162" spans="1:1">
      <c r="A162" t="s">
        <v>193</v>
      </c>
    </row>
    <row r="163" spans="1:1">
      <c r="A163" t="s">
        <v>194</v>
      </c>
    </row>
    <row r="164" spans="1:1">
      <c r="A164" t="s">
        <v>195</v>
      </c>
    </row>
    <row r="165" spans="1:1">
      <c r="A165" t="s">
        <v>196</v>
      </c>
    </row>
    <row r="166" spans="1:1">
      <c r="A166" t="s">
        <v>197</v>
      </c>
    </row>
    <row r="167" spans="1:1">
      <c r="A167" t="s">
        <v>198</v>
      </c>
    </row>
    <row r="168" spans="1:1">
      <c r="A168" t="s">
        <v>199</v>
      </c>
    </row>
    <row r="169" spans="1:1">
      <c r="A169" t="s">
        <v>200</v>
      </c>
    </row>
    <row r="170" spans="1:1">
      <c r="A170" t="s">
        <v>201</v>
      </c>
    </row>
    <row r="171" spans="1:1">
      <c r="A171" t="s">
        <v>202</v>
      </c>
    </row>
    <row r="172" spans="1:1">
      <c r="A172" t="s">
        <v>203</v>
      </c>
    </row>
    <row r="173" spans="1:1">
      <c r="A173" t="s">
        <v>205</v>
      </c>
    </row>
    <row r="174" spans="1:1">
      <c r="A174" t="s">
        <v>206</v>
      </c>
    </row>
    <row r="175" spans="1:1">
      <c r="A175" t="s">
        <v>207</v>
      </c>
    </row>
    <row r="176" spans="1:1">
      <c r="A176" t="s">
        <v>208</v>
      </c>
    </row>
    <row r="177" spans="1:1">
      <c r="A177" t="s">
        <v>209</v>
      </c>
    </row>
    <row r="178" spans="1:1">
      <c r="A178" t="s">
        <v>210</v>
      </c>
    </row>
    <row r="179" spans="1:1">
      <c r="A179" t="s">
        <v>211</v>
      </c>
    </row>
    <row r="180" spans="1:1">
      <c r="A180" t="s">
        <v>212</v>
      </c>
    </row>
    <row r="181" spans="1:1">
      <c r="A181" t="s">
        <v>213</v>
      </c>
    </row>
    <row r="182" spans="1:1">
      <c r="A182" t="s">
        <v>214</v>
      </c>
    </row>
    <row r="183" spans="1:1">
      <c r="A183" t="s">
        <v>215</v>
      </c>
    </row>
    <row r="184" spans="1:1">
      <c r="A184" t="s">
        <v>216</v>
      </c>
    </row>
    <row r="185" spans="1:1">
      <c r="A185" t="s">
        <v>217</v>
      </c>
    </row>
    <row r="186" spans="1:1">
      <c r="A186" t="s">
        <v>218</v>
      </c>
    </row>
    <row r="187" spans="1:1">
      <c r="A187" t="s">
        <v>219</v>
      </c>
    </row>
    <row r="188" spans="1:1">
      <c r="A188" t="s">
        <v>220</v>
      </c>
    </row>
    <row r="189" spans="1:1">
      <c r="A189" t="s">
        <v>221</v>
      </c>
    </row>
    <row r="190" spans="1:1">
      <c r="A190" t="s">
        <v>222</v>
      </c>
    </row>
    <row r="191" spans="1:1">
      <c r="A191" t="s">
        <v>223</v>
      </c>
    </row>
    <row r="192" spans="1:1">
      <c r="A192" t="s">
        <v>225</v>
      </c>
    </row>
    <row r="193" spans="1:1">
      <c r="A193" t="s">
        <v>226</v>
      </c>
    </row>
    <row r="194" spans="1:1">
      <c r="A194" t="s">
        <v>227</v>
      </c>
    </row>
    <row r="195" spans="1:1">
      <c r="A195" t="s">
        <v>228</v>
      </c>
    </row>
    <row r="196" spans="1:1">
      <c r="A196" t="s">
        <v>229</v>
      </c>
    </row>
    <row r="197" spans="1:1">
      <c r="A197" t="s">
        <v>230</v>
      </c>
    </row>
    <row r="198" spans="1:1">
      <c r="A198" t="s">
        <v>231</v>
      </c>
    </row>
    <row r="199" spans="1:1">
      <c r="A199" t="s">
        <v>232</v>
      </c>
    </row>
    <row r="200" spans="1:1">
      <c r="A200" t="s">
        <v>233</v>
      </c>
    </row>
    <row r="201" spans="1:1">
      <c r="A201" t="s">
        <v>234</v>
      </c>
    </row>
    <row r="202" spans="1:1">
      <c r="A202" t="s">
        <v>235</v>
      </c>
    </row>
    <row r="203" spans="1:1">
      <c r="A203" t="s">
        <v>236</v>
      </c>
    </row>
    <row r="204" spans="1:1">
      <c r="A204" t="s">
        <v>237</v>
      </c>
    </row>
    <row r="205" spans="1:1">
      <c r="A205" t="s">
        <v>238</v>
      </c>
    </row>
    <row r="206" spans="1:1">
      <c r="A206" t="s">
        <v>239</v>
      </c>
    </row>
    <row r="207" spans="1:1">
      <c r="A207" t="s">
        <v>240</v>
      </c>
    </row>
    <row r="208" spans="1:1">
      <c r="A208" t="s">
        <v>241</v>
      </c>
    </row>
    <row r="209" spans="1:1">
      <c r="A209" t="s">
        <v>242</v>
      </c>
    </row>
    <row r="210" spans="1:1">
      <c r="A210" t="s">
        <v>243</v>
      </c>
    </row>
    <row r="211" spans="1:1">
      <c r="A211" t="s">
        <v>244</v>
      </c>
    </row>
    <row r="212" spans="1:1">
      <c r="A212" t="s">
        <v>245</v>
      </c>
    </row>
    <row r="213" spans="1:1">
      <c r="A213" t="s">
        <v>246</v>
      </c>
    </row>
    <row r="214" spans="1:1">
      <c r="A214" t="s">
        <v>247</v>
      </c>
    </row>
    <row r="215" spans="1:1">
      <c r="A215" t="s">
        <v>248</v>
      </c>
    </row>
    <row r="216" spans="1:1">
      <c r="A216" t="s">
        <v>249</v>
      </c>
    </row>
    <row r="217" spans="1:1">
      <c r="A217" t="s">
        <v>250</v>
      </c>
    </row>
    <row r="218" spans="1:1">
      <c r="A218" t="s">
        <v>251</v>
      </c>
    </row>
    <row r="219" spans="1:1">
      <c r="A219" t="s">
        <v>252</v>
      </c>
    </row>
    <row r="220" spans="1:1">
      <c r="A220" t="s">
        <v>253</v>
      </c>
    </row>
    <row r="221" spans="1:1">
      <c r="A221" t="s">
        <v>254</v>
      </c>
    </row>
    <row r="222" spans="1:1">
      <c r="A222" t="s">
        <v>255</v>
      </c>
    </row>
    <row r="223" spans="1:1">
      <c r="A223" t="s">
        <v>256</v>
      </c>
    </row>
    <row r="224" spans="1:1">
      <c r="A224" t="s">
        <v>257</v>
      </c>
    </row>
    <row r="225" spans="1:1">
      <c r="A225" t="s">
        <v>258</v>
      </c>
    </row>
    <row r="226" spans="1:1">
      <c r="A226" t="s">
        <v>259</v>
      </c>
    </row>
    <row r="227" spans="1:1">
      <c r="A227" t="s">
        <v>260</v>
      </c>
    </row>
    <row r="228" spans="1:1">
      <c r="A228" t="s">
        <v>261</v>
      </c>
    </row>
    <row r="229" spans="1:1">
      <c r="A229" t="s">
        <v>262</v>
      </c>
    </row>
    <row r="230" spans="1:1">
      <c r="A230" t="s">
        <v>263</v>
      </c>
    </row>
    <row r="231" spans="1:1">
      <c r="A231" t="s">
        <v>264</v>
      </c>
    </row>
    <row r="232" spans="1:1">
      <c r="A232" t="s">
        <v>265</v>
      </c>
    </row>
    <row r="233" spans="1:1">
      <c r="A233" t="s">
        <v>266</v>
      </c>
    </row>
    <row r="234" spans="1:1">
      <c r="A234" t="s">
        <v>267</v>
      </c>
    </row>
    <row r="235" spans="1:1">
      <c r="A235" t="s">
        <v>268</v>
      </c>
    </row>
    <row r="236" spans="1:1">
      <c r="A236" t="s">
        <v>269</v>
      </c>
    </row>
    <row r="237" spans="1:1">
      <c r="A237" t="s">
        <v>270</v>
      </c>
    </row>
    <row r="238" spans="1:1">
      <c r="A238" t="s">
        <v>271</v>
      </c>
    </row>
    <row r="239" spans="1:1">
      <c r="A239" t="s">
        <v>272</v>
      </c>
    </row>
    <row r="240" spans="1:1">
      <c r="A240" t="s">
        <v>273</v>
      </c>
    </row>
    <row r="241" spans="1:1">
      <c r="A241" t="s">
        <v>274</v>
      </c>
    </row>
    <row r="242" spans="1:1">
      <c r="A242" t="s">
        <v>275</v>
      </c>
    </row>
    <row r="243" spans="1:1">
      <c r="A243" t="s">
        <v>276</v>
      </c>
    </row>
    <row r="244" spans="1:1">
      <c r="A244" t="s">
        <v>277</v>
      </c>
    </row>
    <row r="245" spans="1:1">
      <c r="A245" t="s">
        <v>278</v>
      </c>
    </row>
    <row r="246" spans="1:1">
      <c r="A246" t="s">
        <v>279</v>
      </c>
    </row>
    <row r="247" spans="1:1">
      <c r="A247" t="s">
        <v>280</v>
      </c>
    </row>
    <row r="248" spans="1:1">
      <c r="A248" t="s">
        <v>281</v>
      </c>
    </row>
    <row r="249" spans="1:1">
      <c r="A249" t="s">
        <v>282</v>
      </c>
    </row>
    <row r="250" spans="1:1">
      <c r="A250" t="s">
        <v>283</v>
      </c>
    </row>
    <row r="251" spans="1:1">
      <c r="A251" t="s">
        <v>284</v>
      </c>
    </row>
    <row r="252" spans="1:1">
      <c r="A252" t="s">
        <v>285</v>
      </c>
    </row>
    <row r="253" spans="1:1">
      <c r="A253" t="s">
        <v>286</v>
      </c>
    </row>
    <row r="254" spans="1:1">
      <c r="A254" t="s">
        <v>287</v>
      </c>
    </row>
    <row r="255" spans="1:1">
      <c r="A255" t="s">
        <v>288</v>
      </c>
    </row>
    <row r="256" spans="1:1">
      <c r="A256" t="s">
        <v>289</v>
      </c>
    </row>
    <row r="257" spans="1:1">
      <c r="A257" t="s">
        <v>290</v>
      </c>
    </row>
    <row r="258" spans="1:1">
      <c r="A258" t="s">
        <v>291</v>
      </c>
    </row>
    <row r="259" spans="1:1">
      <c r="A259" t="s">
        <v>292</v>
      </c>
    </row>
    <row r="260" spans="1:1">
      <c r="A260" t="s">
        <v>293</v>
      </c>
    </row>
    <row r="261" spans="1:1">
      <c r="A261" t="s">
        <v>294</v>
      </c>
    </row>
    <row r="262" spans="1:1">
      <c r="A262" t="s">
        <v>295</v>
      </c>
    </row>
    <row r="263" spans="1:1">
      <c r="A263" t="s">
        <v>296</v>
      </c>
    </row>
    <row r="264" spans="1:1">
      <c r="A264" t="s">
        <v>297</v>
      </c>
    </row>
    <row r="265" spans="1:1">
      <c r="A265" t="s">
        <v>298</v>
      </c>
    </row>
    <row r="266" spans="1:1">
      <c r="A266" t="s">
        <v>299</v>
      </c>
    </row>
    <row r="267" spans="1:1">
      <c r="A267" t="s">
        <v>300</v>
      </c>
    </row>
    <row r="268" spans="1:1">
      <c r="A268" t="s">
        <v>301</v>
      </c>
    </row>
    <row r="269" spans="1:1">
      <c r="A269" t="s">
        <v>302</v>
      </c>
    </row>
    <row r="270" spans="1:1">
      <c r="A270" t="s">
        <v>303</v>
      </c>
    </row>
    <row r="271" spans="1:1">
      <c r="A271" t="s">
        <v>304</v>
      </c>
    </row>
    <row r="272" spans="1:1">
      <c r="A272" t="s">
        <v>305</v>
      </c>
    </row>
    <row r="273" spans="1:1">
      <c r="A273" t="s">
        <v>306</v>
      </c>
    </row>
    <row r="274" spans="1:1">
      <c r="A274" t="s">
        <v>307</v>
      </c>
    </row>
    <row r="275" spans="1:1">
      <c r="A275" t="s">
        <v>308</v>
      </c>
    </row>
    <row r="276" spans="1:1">
      <c r="A276" t="s">
        <v>309</v>
      </c>
    </row>
    <row r="277" spans="1:1">
      <c r="A277" t="s">
        <v>310</v>
      </c>
    </row>
    <row r="278" spans="1:1">
      <c r="A278" t="s">
        <v>311</v>
      </c>
    </row>
    <row r="279" spans="1:1">
      <c r="A279" t="s">
        <v>312</v>
      </c>
    </row>
    <row r="280" spans="1:1">
      <c r="A280" t="s">
        <v>313</v>
      </c>
    </row>
    <row r="281" spans="1:1">
      <c r="A281" t="s">
        <v>314</v>
      </c>
    </row>
    <row r="282" spans="1:1">
      <c r="A282" t="s">
        <v>315</v>
      </c>
    </row>
    <row r="283" spans="1:1">
      <c r="A283" t="s">
        <v>316</v>
      </c>
    </row>
    <row r="284" spans="1:1">
      <c r="A284" t="s">
        <v>317</v>
      </c>
    </row>
    <row r="285" spans="1:1">
      <c r="A285" t="s">
        <v>318</v>
      </c>
    </row>
    <row r="286" spans="1:1">
      <c r="A286" t="s">
        <v>319</v>
      </c>
    </row>
    <row r="287" spans="1:1">
      <c r="A287" t="s">
        <v>320</v>
      </c>
    </row>
    <row r="288" spans="1:1">
      <c r="A288" t="s">
        <v>321</v>
      </c>
    </row>
    <row r="289" spans="1:1">
      <c r="A289" t="s">
        <v>322</v>
      </c>
    </row>
    <row r="290" spans="1:1">
      <c r="A290" t="s">
        <v>323</v>
      </c>
    </row>
    <row r="291" spans="1:1">
      <c r="A291" t="s">
        <v>324</v>
      </c>
    </row>
    <row r="292" spans="1:1">
      <c r="A292" t="s">
        <v>325</v>
      </c>
    </row>
    <row r="293" spans="1:1">
      <c r="A293" t="s">
        <v>326</v>
      </c>
    </row>
    <row r="294" spans="1:1">
      <c r="A294" t="s">
        <v>327</v>
      </c>
    </row>
    <row r="295" spans="1:1">
      <c r="A295" t="s">
        <v>328</v>
      </c>
    </row>
    <row r="296" spans="1:1">
      <c r="A296" t="s">
        <v>329</v>
      </c>
    </row>
    <row r="297" spans="1:1">
      <c r="A297" t="s">
        <v>330</v>
      </c>
    </row>
    <row r="298" spans="1:1">
      <c r="A298" t="s">
        <v>331</v>
      </c>
    </row>
    <row r="299" spans="1:1">
      <c r="A299" t="s">
        <v>332</v>
      </c>
    </row>
    <row r="300" spans="1:1">
      <c r="A300" t="s">
        <v>333</v>
      </c>
    </row>
    <row r="301" spans="1:1">
      <c r="A301" t="s">
        <v>334</v>
      </c>
    </row>
    <row r="302" spans="1:1">
      <c r="A302" t="s">
        <v>335</v>
      </c>
    </row>
    <row r="303" spans="1:1">
      <c r="A303" t="s">
        <v>336</v>
      </c>
    </row>
    <row r="304" spans="1:1">
      <c r="A304" t="s">
        <v>337</v>
      </c>
    </row>
    <row r="305" spans="1:1">
      <c r="A305" t="s">
        <v>338</v>
      </c>
    </row>
    <row r="306" spans="1:1">
      <c r="A306" t="s">
        <v>339</v>
      </c>
    </row>
    <row r="307" spans="1:1">
      <c r="A307" t="s">
        <v>340</v>
      </c>
    </row>
    <row r="308" spans="1:1">
      <c r="A308" t="s">
        <v>341</v>
      </c>
    </row>
    <row r="309" spans="1:1">
      <c r="A309" t="s">
        <v>342</v>
      </c>
    </row>
    <row r="310" spans="1:1">
      <c r="A310" t="s">
        <v>343</v>
      </c>
    </row>
    <row r="311" spans="1:1">
      <c r="A311" t="s">
        <v>344</v>
      </c>
    </row>
    <row r="312" spans="1:1">
      <c r="A312" t="s">
        <v>345</v>
      </c>
    </row>
    <row r="313" spans="1:1">
      <c r="A313" t="s">
        <v>346</v>
      </c>
    </row>
    <row r="314" spans="1:1">
      <c r="A314" t="s">
        <v>347</v>
      </c>
    </row>
    <row r="315" spans="1:1">
      <c r="A315" t="s">
        <v>348</v>
      </c>
    </row>
    <row r="316" spans="1:1">
      <c r="A316" t="s">
        <v>349</v>
      </c>
    </row>
    <row r="317" spans="1:1">
      <c r="A317" t="s">
        <v>350</v>
      </c>
    </row>
    <row r="318" spans="1:1">
      <c r="A318" t="s">
        <v>351</v>
      </c>
    </row>
    <row r="319" spans="1:1">
      <c r="A319" t="s">
        <v>352</v>
      </c>
    </row>
    <row r="320" spans="1:1">
      <c r="A320" t="s">
        <v>353</v>
      </c>
    </row>
    <row r="321" spans="1:1">
      <c r="A321" t="s">
        <v>354</v>
      </c>
    </row>
    <row r="322" spans="1:1">
      <c r="A322" t="s">
        <v>355</v>
      </c>
    </row>
    <row r="323" spans="1:1">
      <c r="A323" t="s">
        <v>356</v>
      </c>
    </row>
    <row r="324" spans="1:1">
      <c r="A324" t="s">
        <v>357</v>
      </c>
    </row>
    <row r="325" spans="1:1">
      <c r="A325" t="s">
        <v>358</v>
      </c>
    </row>
    <row r="326" spans="1:1">
      <c r="A326" t="s">
        <v>359</v>
      </c>
    </row>
    <row r="327" spans="1:1">
      <c r="A327" t="s">
        <v>360</v>
      </c>
    </row>
    <row r="328" spans="1:1">
      <c r="A328" t="s">
        <v>361</v>
      </c>
    </row>
    <row r="329" spans="1:1">
      <c r="A329" t="s">
        <v>362</v>
      </c>
    </row>
    <row r="330" spans="1:1">
      <c r="A330" t="s">
        <v>363</v>
      </c>
    </row>
    <row r="331" spans="1:1">
      <c r="A331" t="s">
        <v>364</v>
      </c>
    </row>
    <row r="332" spans="1:1">
      <c r="A332" t="s">
        <v>365</v>
      </c>
    </row>
    <row r="333" spans="1:1">
      <c r="A333" t="s">
        <v>366</v>
      </c>
    </row>
    <row r="334" spans="1:1">
      <c r="A334" t="s">
        <v>367</v>
      </c>
    </row>
    <row r="335" spans="1:1">
      <c r="A335" t="s">
        <v>368</v>
      </c>
    </row>
    <row r="336" spans="1:1">
      <c r="A336" t="s">
        <v>369</v>
      </c>
    </row>
    <row r="337" spans="1:1">
      <c r="A337" t="s">
        <v>370</v>
      </c>
    </row>
    <row r="338" spans="1:1">
      <c r="A338" t="s">
        <v>371</v>
      </c>
    </row>
    <row r="339" spans="1:1">
      <c r="A339" t="s">
        <v>372</v>
      </c>
    </row>
    <row r="340" spans="1:1">
      <c r="A340" t="s">
        <v>373</v>
      </c>
    </row>
    <row r="341" spans="1:1">
      <c r="A341" t="s">
        <v>374</v>
      </c>
    </row>
    <row r="342" spans="1:1">
      <c r="A342" t="s">
        <v>375</v>
      </c>
    </row>
    <row r="343" spans="1:1">
      <c r="A343" t="s">
        <v>376</v>
      </c>
    </row>
    <row r="344" spans="1:1">
      <c r="A344" t="s">
        <v>377</v>
      </c>
    </row>
    <row r="345" spans="1:1">
      <c r="A345" t="s">
        <v>378</v>
      </c>
    </row>
    <row r="346" spans="1:1">
      <c r="A346" t="s">
        <v>379</v>
      </c>
    </row>
    <row r="347" spans="1:1">
      <c r="A347" t="s">
        <v>380</v>
      </c>
    </row>
    <row r="348" spans="1:1">
      <c r="A348" t="s">
        <v>381</v>
      </c>
    </row>
    <row r="349" spans="1:1">
      <c r="A349" t="s">
        <v>382</v>
      </c>
    </row>
    <row r="350" spans="1:1">
      <c r="A350" t="s">
        <v>383</v>
      </c>
    </row>
    <row r="351" spans="1:1">
      <c r="A351" t="s">
        <v>384</v>
      </c>
    </row>
    <row r="352" spans="1:1">
      <c r="A352" t="s">
        <v>385</v>
      </c>
    </row>
    <row r="353" spans="1:1">
      <c r="A353" t="s">
        <v>386</v>
      </c>
    </row>
    <row r="354" spans="1:1">
      <c r="A354" t="s">
        <v>387</v>
      </c>
    </row>
    <row r="355" spans="1:1">
      <c r="A355" t="s">
        <v>388</v>
      </c>
    </row>
    <row r="356" spans="1:1">
      <c r="A356" t="s">
        <v>389</v>
      </c>
    </row>
    <row r="357" spans="1:1">
      <c r="A357" t="s">
        <v>390</v>
      </c>
    </row>
    <row r="358" spans="1:1">
      <c r="A358" t="s">
        <v>391</v>
      </c>
    </row>
    <row r="359" spans="1:1">
      <c r="A359" t="s">
        <v>392</v>
      </c>
    </row>
    <row r="360" spans="1:1">
      <c r="A360" t="s">
        <v>393</v>
      </c>
    </row>
    <row r="361" spans="1:1">
      <c r="A361" t="s">
        <v>394</v>
      </c>
    </row>
    <row r="362" spans="1:1">
      <c r="A362" t="s">
        <v>395</v>
      </c>
    </row>
    <row r="363" spans="1:1">
      <c r="A363" t="s">
        <v>396</v>
      </c>
    </row>
    <row r="364" spans="1:1">
      <c r="A364" t="s">
        <v>397</v>
      </c>
    </row>
    <row r="365" spans="1:1">
      <c r="A365" t="s">
        <v>398</v>
      </c>
    </row>
    <row r="366" spans="1:1">
      <c r="A366" t="s">
        <v>399</v>
      </c>
    </row>
    <row r="367" spans="1:1">
      <c r="A367" t="s">
        <v>400</v>
      </c>
    </row>
    <row r="368" spans="1:1">
      <c r="A368" t="s">
        <v>401</v>
      </c>
    </row>
    <row r="369" spans="1:1">
      <c r="A369" t="s">
        <v>402</v>
      </c>
    </row>
    <row r="370" spans="1:1">
      <c r="A370" t="s">
        <v>403</v>
      </c>
    </row>
    <row r="371" spans="1:1">
      <c r="A371" t="s">
        <v>404</v>
      </c>
    </row>
    <row r="372" spans="1:1">
      <c r="A372" t="s">
        <v>405</v>
      </c>
    </row>
    <row r="373" spans="1:1">
      <c r="A373" t="s">
        <v>406</v>
      </c>
    </row>
    <row r="374" spans="1:1">
      <c r="A374" t="s">
        <v>407</v>
      </c>
    </row>
    <row r="375" spans="1:1">
      <c r="A375" t="s">
        <v>408</v>
      </c>
    </row>
    <row r="376" spans="1:1">
      <c r="A376" t="s">
        <v>409</v>
      </c>
    </row>
    <row r="377" spans="1:1">
      <c r="A377" t="s">
        <v>410</v>
      </c>
    </row>
    <row r="378" spans="1:1">
      <c r="A378" t="s">
        <v>411</v>
      </c>
    </row>
    <row r="379" spans="1:1">
      <c r="A379" t="s">
        <v>412</v>
      </c>
    </row>
    <row r="380" spans="1:1">
      <c r="A380" t="s">
        <v>413</v>
      </c>
    </row>
    <row r="381" spans="1:1">
      <c r="A381" t="s">
        <v>414</v>
      </c>
    </row>
    <row r="382" spans="1:1">
      <c r="A382" t="s">
        <v>415</v>
      </c>
    </row>
    <row r="383" spans="1:1">
      <c r="A383" t="s">
        <v>416</v>
      </c>
    </row>
    <row r="384" spans="1:1">
      <c r="A384" t="s">
        <v>417</v>
      </c>
    </row>
    <row r="385" spans="1:1">
      <c r="A385" t="s">
        <v>418</v>
      </c>
    </row>
    <row r="386" spans="1:1">
      <c r="A386" t="s">
        <v>419</v>
      </c>
    </row>
    <row r="387" spans="1:1">
      <c r="A387" t="s">
        <v>420</v>
      </c>
    </row>
    <row r="388" spans="1:1">
      <c r="A388" t="s">
        <v>421</v>
      </c>
    </row>
    <row r="389" spans="1:1">
      <c r="A389" t="s">
        <v>422</v>
      </c>
    </row>
    <row r="390" spans="1:1">
      <c r="A390" t="s">
        <v>423</v>
      </c>
    </row>
    <row r="391" spans="1:1">
      <c r="A391" t="s">
        <v>424</v>
      </c>
    </row>
    <row r="392" spans="1:1">
      <c r="A392" t="s">
        <v>425</v>
      </c>
    </row>
    <row r="393" spans="1:1">
      <c r="A393" t="s">
        <v>426</v>
      </c>
    </row>
    <row r="394" spans="1:1">
      <c r="A394" t="s">
        <v>427</v>
      </c>
    </row>
    <row r="395" spans="1:1">
      <c r="A395" t="s">
        <v>428</v>
      </c>
    </row>
    <row r="396" spans="1:1">
      <c r="A396" t="s">
        <v>429</v>
      </c>
    </row>
    <row r="397" spans="1:1">
      <c r="A397" t="s">
        <v>430</v>
      </c>
    </row>
    <row r="398" spans="1:1">
      <c r="A398" t="s">
        <v>431</v>
      </c>
    </row>
    <row r="399" spans="1:1">
      <c r="A399" t="s">
        <v>432</v>
      </c>
    </row>
    <row r="400" spans="1:1">
      <c r="A400" t="s">
        <v>433</v>
      </c>
    </row>
    <row r="401" spans="1:1">
      <c r="A401" t="s">
        <v>434</v>
      </c>
    </row>
    <row r="402" spans="1:1">
      <c r="A402" t="s">
        <v>435</v>
      </c>
    </row>
    <row r="403" spans="1:1">
      <c r="A403" t="s">
        <v>436</v>
      </c>
    </row>
    <row r="404" spans="1:1">
      <c r="A404" t="s">
        <v>437</v>
      </c>
    </row>
    <row r="405" spans="1:1">
      <c r="A405" t="s">
        <v>438</v>
      </c>
    </row>
    <row r="406" spans="1:1">
      <c r="A406" t="s">
        <v>439</v>
      </c>
    </row>
    <row r="407" spans="1:1">
      <c r="A407" t="s">
        <v>440</v>
      </c>
    </row>
    <row r="408" spans="1:1">
      <c r="A408" t="s">
        <v>441</v>
      </c>
    </row>
    <row r="409" spans="1:1">
      <c r="A409" t="s">
        <v>442</v>
      </c>
    </row>
    <row r="410" spans="1:1">
      <c r="A410" t="s">
        <v>443</v>
      </c>
    </row>
    <row r="411" spans="1:1">
      <c r="A411" t="s">
        <v>444</v>
      </c>
    </row>
    <row r="412" spans="1:1">
      <c r="A412" t="s">
        <v>445</v>
      </c>
    </row>
    <row r="413" spans="1:1">
      <c r="A413" t="s">
        <v>446</v>
      </c>
    </row>
    <row r="414" spans="1:1">
      <c r="A414" t="s">
        <v>447</v>
      </c>
    </row>
    <row r="415" spans="1:1">
      <c r="A415" t="s">
        <v>448</v>
      </c>
    </row>
    <row r="416" spans="1:1">
      <c r="A416" t="s">
        <v>449</v>
      </c>
    </row>
    <row r="417" spans="1:1">
      <c r="A417" t="s">
        <v>450</v>
      </c>
    </row>
    <row r="418" spans="1:1">
      <c r="A418" t="s">
        <v>451</v>
      </c>
    </row>
    <row r="419" spans="1:1">
      <c r="A419" t="s">
        <v>452</v>
      </c>
    </row>
    <row r="420" spans="1:1">
      <c r="A420" t="s">
        <v>453</v>
      </c>
    </row>
    <row r="421" spans="1:1">
      <c r="A421" t="s">
        <v>454</v>
      </c>
    </row>
    <row r="422" spans="1:1">
      <c r="A422" t="s">
        <v>455</v>
      </c>
    </row>
    <row r="423" spans="1:1">
      <c r="A423" t="s">
        <v>456</v>
      </c>
    </row>
    <row r="424" spans="1:1">
      <c r="A424" t="s">
        <v>457</v>
      </c>
    </row>
    <row r="425" spans="1:1">
      <c r="A425" t="s">
        <v>458</v>
      </c>
    </row>
    <row r="426" spans="1:1">
      <c r="A426" t="s">
        <v>459</v>
      </c>
    </row>
    <row r="427" spans="1:1">
      <c r="A427" t="s">
        <v>460</v>
      </c>
    </row>
    <row r="428" spans="1:1">
      <c r="A428" t="s">
        <v>461</v>
      </c>
    </row>
    <row r="429" spans="1:1">
      <c r="A429" t="s">
        <v>462</v>
      </c>
    </row>
    <row r="430" spans="1:1">
      <c r="A430" t="s">
        <v>463</v>
      </c>
    </row>
    <row r="431" spans="1:1">
      <c r="A431" t="s">
        <v>464</v>
      </c>
    </row>
    <row r="432" spans="1:1">
      <c r="A432" t="s">
        <v>465</v>
      </c>
    </row>
    <row r="433" spans="1:1">
      <c r="A433" t="s">
        <v>466</v>
      </c>
    </row>
    <row r="434" spans="1:1">
      <c r="A434" t="s">
        <v>467</v>
      </c>
    </row>
    <row r="435" spans="1:1">
      <c r="A435" t="s">
        <v>468</v>
      </c>
    </row>
    <row r="436" spans="1:1">
      <c r="A436" t="s">
        <v>469</v>
      </c>
    </row>
    <row r="437" spans="1:1">
      <c r="A437" t="s">
        <v>470</v>
      </c>
    </row>
    <row r="438" spans="1:1">
      <c r="A438" t="s">
        <v>471</v>
      </c>
    </row>
    <row r="439" spans="1:1">
      <c r="A439" t="s">
        <v>472</v>
      </c>
    </row>
    <row r="440" spans="1:1">
      <c r="A440" t="s">
        <v>473</v>
      </c>
    </row>
    <row r="441" spans="1:1">
      <c r="A441" t="s">
        <v>474</v>
      </c>
    </row>
    <row r="442" spans="1:1">
      <c r="A442" t="s">
        <v>475</v>
      </c>
    </row>
    <row r="443" spans="1:1">
      <c r="A443" t="s">
        <v>476</v>
      </c>
    </row>
    <row r="444" spans="1:1">
      <c r="A444" t="s">
        <v>477</v>
      </c>
    </row>
    <row r="445" spans="1:1">
      <c r="A445" t="s">
        <v>478</v>
      </c>
    </row>
    <row r="446" spans="1:1">
      <c r="A446" t="s">
        <v>479</v>
      </c>
    </row>
    <row r="447" spans="1:1">
      <c r="A447" t="s">
        <v>480</v>
      </c>
    </row>
    <row r="448" spans="1:1">
      <c r="A448" t="s">
        <v>481</v>
      </c>
    </row>
    <row r="449" spans="1:1">
      <c r="A449" t="s">
        <v>482</v>
      </c>
    </row>
    <row r="450" spans="1:1">
      <c r="A450" t="s">
        <v>483</v>
      </c>
    </row>
    <row r="451" spans="1:1">
      <c r="A451" t="s">
        <v>484</v>
      </c>
    </row>
    <row r="452" spans="1:1">
      <c r="A452" t="s">
        <v>485</v>
      </c>
    </row>
    <row r="453" spans="1:1">
      <c r="A453" t="s">
        <v>486</v>
      </c>
    </row>
    <row r="454" spans="1:1">
      <c r="A454" t="s">
        <v>487</v>
      </c>
    </row>
    <row r="455" spans="1:1">
      <c r="A455" t="s">
        <v>488</v>
      </c>
    </row>
    <row r="456" spans="1:1">
      <c r="A456" t="s">
        <v>489</v>
      </c>
    </row>
    <row r="457" spans="1:1">
      <c r="A457" t="s">
        <v>490</v>
      </c>
    </row>
    <row r="458" spans="1:1">
      <c r="A458" t="s">
        <v>491</v>
      </c>
    </row>
    <row r="459" spans="1:1">
      <c r="A459" t="s">
        <v>492</v>
      </c>
    </row>
    <row r="460" spans="1:1">
      <c r="A460" t="s">
        <v>493</v>
      </c>
    </row>
    <row r="461" spans="1:1">
      <c r="A461" t="s">
        <v>494</v>
      </c>
    </row>
    <row r="462" spans="1:1">
      <c r="A462" t="s">
        <v>495</v>
      </c>
    </row>
    <row r="463" spans="1:1">
      <c r="A463" t="s">
        <v>496</v>
      </c>
    </row>
    <row r="464" spans="1:1">
      <c r="A464" t="s">
        <v>497</v>
      </c>
    </row>
    <row r="465" spans="1:1">
      <c r="A465" t="s">
        <v>498</v>
      </c>
    </row>
    <row r="466" spans="1:1">
      <c r="A466" t="s">
        <v>499</v>
      </c>
    </row>
    <row r="467" spans="1:1">
      <c r="A467" t="s">
        <v>500</v>
      </c>
    </row>
    <row r="468" spans="1:1">
      <c r="A468" t="s">
        <v>501</v>
      </c>
    </row>
    <row r="469" spans="1:1">
      <c r="A469" t="s">
        <v>502</v>
      </c>
    </row>
    <row r="470" spans="1:1">
      <c r="A470" t="s">
        <v>503</v>
      </c>
    </row>
    <row r="471" spans="1:1">
      <c r="A471" t="s">
        <v>504</v>
      </c>
    </row>
    <row r="472" spans="1:1">
      <c r="A472" t="s">
        <v>505</v>
      </c>
    </row>
    <row r="473" spans="1:1">
      <c r="A473" t="s">
        <v>506</v>
      </c>
    </row>
    <row r="474" spans="1:1">
      <c r="A474" t="s">
        <v>507</v>
      </c>
    </row>
    <row r="475" spans="1:1">
      <c r="A475" t="s">
        <v>508</v>
      </c>
    </row>
    <row r="476" spans="1:1">
      <c r="A476" t="s">
        <v>509</v>
      </c>
    </row>
    <row r="477" spans="1:1">
      <c r="A477" t="s">
        <v>510</v>
      </c>
    </row>
    <row r="478" spans="1:1">
      <c r="A478" t="s">
        <v>511</v>
      </c>
    </row>
    <row r="479" spans="1:1">
      <c r="A479" t="s">
        <v>512</v>
      </c>
    </row>
    <row r="480" spans="1:1">
      <c r="A480" t="s">
        <v>513</v>
      </c>
    </row>
    <row r="481" spans="1:1">
      <c r="A481" t="s">
        <v>514</v>
      </c>
    </row>
    <row r="482" spans="1:1">
      <c r="A482" t="s">
        <v>515</v>
      </c>
    </row>
    <row r="483" spans="1:1">
      <c r="A483" t="s">
        <v>516</v>
      </c>
    </row>
    <row r="484" spans="1:1">
      <c r="A484" t="s">
        <v>517</v>
      </c>
    </row>
    <row r="485" spans="1:1">
      <c r="A485" t="s">
        <v>518</v>
      </c>
    </row>
    <row r="486" spans="1:1">
      <c r="A486" t="s">
        <v>519</v>
      </c>
    </row>
    <row r="487" spans="1:1">
      <c r="A487" t="s">
        <v>520</v>
      </c>
    </row>
    <row r="488" spans="1:1">
      <c r="A488" t="s">
        <v>521</v>
      </c>
    </row>
    <row r="489" spans="1:1">
      <c r="A489" t="s">
        <v>522</v>
      </c>
    </row>
    <row r="490" spans="1:1">
      <c r="A490" t="s">
        <v>523</v>
      </c>
    </row>
    <row r="491" spans="1:1">
      <c r="A491" t="s">
        <v>524</v>
      </c>
    </row>
    <row r="492" spans="1:1">
      <c r="A492" t="s">
        <v>525</v>
      </c>
    </row>
    <row r="493" spans="1:1">
      <c r="A493" t="s">
        <v>526</v>
      </c>
    </row>
    <row r="494" spans="1:1">
      <c r="A494" t="s">
        <v>527</v>
      </c>
    </row>
    <row r="495" spans="1:1">
      <c r="A495" t="s">
        <v>528</v>
      </c>
    </row>
    <row r="496" spans="1:1">
      <c r="A496" t="s">
        <v>529</v>
      </c>
    </row>
    <row r="497" spans="1:1">
      <c r="A497" t="s">
        <v>530</v>
      </c>
    </row>
    <row r="498" spans="1:1">
      <c r="A498" t="s">
        <v>531</v>
      </c>
    </row>
    <row r="499" spans="1:1">
      <c r="A499" t="s">
        <v>532</v>
      </c>
    </row>
    <row r="500" spans="1:1">
      <c r="A500" t="s">
        <v>533</v>
      </c>
    </row>
    <row r="501" spans="1:1">
      <c r="A501" t="s">
        <v>534</v>
      </c>
    </row>
    <row r="502" spans="1:1">
      <c r="A502" t="s">
        <v>535</v>
      </c>
    </row>
    <row r="503" spans="1:1">
      <c r="A503" t="s">
        <v>536</v>
      </c>
    </row>
    <row r="504" spans="1:1">
      <c r="A504" t="s">
        <v>537</v>
      </c>
    </row>
    <row r="505" spans="1:1">
      <c r="A505" t="s">
        <v>538</v>
      </c>
    </row>
    <row r="506" spans="1:1">
      <c r="A506" t="s">
        <v>539</v>
      </c>
    </row>
    <row r="507" spans="1:1">
      <c r="A507" t="s">
        <v>540</v>
      </c>
    </row>
    <row r="508" spans="1:1">
      <c r="A508" t="s">
        <v>541</v>
      </c>
    </row>
    <row r="509" spans="1:1">
      <c r="A509" t="s">
        <v>542</v>
      </c>
    </row>
    <row r="510" spans="1:1">
      <c r="A510" t="s">
        <v>543</v>
      </c>
    </row>
    <row r="511" spans="1:1">
      <c r="A511" t="s">
        <v>544</v>
      </c>
    </row>
    <row r="512" spans="1:1">
      <c r="A512" t="s">
        <v>545</v>
      </c>
    </row>
    <row r="513" spans="1:1">
      <c r="A513" t="s">
        <v>546</v>
      </c>
    </row>
    <row r="514" spans="1:1">
      <c r="A514" t="s">
        <v>547</v>
      </c>
    </row>
    <row r="515" spans="1:1">
      <c r="A515" t="s">
        <v>548</v>
      </c>
    </row>
    <row r="516" spans="1:1">
      <c r="A516" t="s">
        <v>549</v>
      </c>
    </row>
    <row r="517" spans="1:1">
      <c r="A517" t="s">
        <v>550</v>
      </c>
    </row>
    <row r="518" spans="1:1">
      <c r="A518" t="s">
        <v>551</v>
      </c>
    </row>
    <row r="519" spans="1:1">
      <c r="A519" t="s">
        <v>552</v>
      </c>
    </row>
    <row r="520" spans="1:1">
      <c r="A520" t="s">
        <v>553</v>
      </c>
    </row>
    <row r="521" spans="1:1">
      <c r="A521" t="s">
        <v>554</v>
      </c>
    </row>
    <row r="522" spans="1:1">
      <c r="A522" t="s">
        <v>555</v>
      </c>
    </row>
    <row r="523" spans="1:1">
      <c r="A523" t="s">
        <v>556</v>
      </c>
    </row>
    <row r="524" spans="1:1">
      <c r="A524" t="s">
        <v>557</v>
      </c>
    </row>
    <row r="525" spans="1:1">
      <c r="A525" t="s">
        <v>558</v>
      </c>
    </row>
    <row r="526" spans="1:1">
      <c r="A526" t="s">
        <v>559</v>
      </c>
    </row>
    <row r="527" spans="1:1">
      <c r="A527" t="s">
        <v>560</v>
      </c>
    </row>
    <row r="528" spans="1:1">
      <c r="A528" t="s">
        <v>561</v>
      </c>
    </row>
    <row r="529" spans="1:1">
      <c r="A529" t="s">
        <v>562</v>
      </c>
    </row>
    <row r="530" spans="1:1">
      <c r="A530" t="s">
        <v>563</v>
      </c>
    </row>
    <row r="531" spans="1:1">
      <c r="A531" t="s">
        <v>564</v>
      </c>
    </row>
    <row r="532" spans="1:1">
      <c r="A532" t="s">
        <v>565</v>
      </c>
    </row>
    <row r="533" spans="1:1">
      <c r="A533" t="s">
        <v>566</v>
      </c>
    </row>
    <row r="534" spans="1:1">
      <c r="A534" t="s">
        <v>567</v>
      </c>
    </row>
    <row r="535" spans="1:1">
      <c r="A535" t="s">
        <v>568</v>
      </c>
    </row>
    <row r="536" spans="1:1">
      <c r="A536" t="s">
        <v>569</v>
      </c>
    </row>
    <row r="537" spans="1:1">
      <c r="A537" t="s">
        <v>570</v>
      </c>
    </row>
    <row r="538" spans="1:1">
      <c r="A538" t="s">
        <v>571</v>
      </c>
    </row>
    <row r="539" spans="1:1">
      <c r="A539" t="s">
        <v>572</v>
      </c>
    </row>
    <row r="540" spans="1:1">
      <c r="A540" t="s">
        <v>573</v>
      </c>
    </row>
    <row r="541" spans="1:1">
      <c r="A541" t="s">
        <v>574</v>
      </c>
    </row>
    <row r="542" spans="1:1">
      <c r="A542" t="s">
        <v>575</v>
      </c>
    </row>
    <row r="543" spans="1:1">
      <c r="A543" t="s">
        <v>576</v>
      </c>
    </row>
    <row r="544" spans="1:1">
      <c r="A544" t="s">
        <v>577</v>
      </c>
    </row>
    <row r="545" spans="1:1">
      <c r="A545" t="s">
        <v>578</v>
      </c>
    </row>
    <row r="546" spans="1:1">
      <c r="A546" t="s">
        <v>579</v>
      </c>
    </row>
    <row r="547" spans="1:1">
      <c r="A547" t="s">
        <v>580</v>
      </c>
    </row>
    <row r="548" spans="1:1">
      <c r="A548" t="s">
        <v>581</v>
      </c>
    </row>
    <row r="549" spans="1:1">
      <c r="A549" t="s">
        <v>582</v>
      </c>
    </row>
    <row r="550" spans="1:1">
      <c r="A550" t="s">
        <v>583</v>
      </c>
    </row>
    <row r="551" spans="1:1">
      <c r="A551" t="s">
        <v>584</v>
      </c>
    </row>
    <row r="552" spans="1:1">
      <c r="A552" t="s">
        <v>585</v>
      </c>
    </row>
    <row r="553" spans="1:1">
      <c r="A553" t="s">
        <v>586</v>
      </c>
    </row>
    <row r="554" spans="1:1">
      <c r="A554" t="s">
        <v>587</v>
      </c>
    </row>
    <row r="555" spans="1:1">
      <c r="A555" t="s">
        <v>588</v>
      </c>
    </row>
    <row r="556" spans="1:1">
      <c r="A556" t="s">
        <v>589</v>
      </c>
    </row>
    <row r="557" spans="1:1">
      <c r="A557" t="s">
        <v>590</v>
      </c>
    </row>
    <row r="558" spans="1:1">
      <c r="A558" t="s">
        <v>591</v>
      </c>
    </row>
    <row r="559" spans="1:1">
      <c r="A559" t="s">
        <v>592</v>
      </c>
    </row>
    <row r="560" spans="1:1">
      <c r="A560" t="s">
        <v>593</v>
      </c>
    </row>
    <row r="561" spans="1:1">
      <c r="A561" t="s">
        <v>594</v>
      </c>
    </row>
    <row r="562" spans="1:1">
      <c r="A562" t="s">
        <v>595</v>
      </c>
    </row>
    <row r="563" spans="1:1">
      <c r="A563" t="s">
        <v>596</v>
      </c>
    </row>
    <row r="564" spans="1:1">
      <c r="A564" t="s">
        <v>597</v>
      </c>
    </row>
    <row r="565" spans="1:1">
      <c r="A565" t="s">
        <v>598</v>
      </c>
    </row>
    <row r="566" spans="1:1">
      <c r="A566" t="s">
        <v>599</v>
      </c>
    </row>
    <row r="567" spans="1:1">
      <c r="A567" t="s">
        <v>600</v>
      </c>
    </row>
    <row r="568" spans="1:1">
      <c r="A568" t="s">
        <v>601</v>
      </c>
    </row>
    <row r="569" spans="1:1">
      <c r="A569" t="s">
        <v>602</v>
      </c>
    </row>
    <row r="570" spans="1:1">
      <c r="A570" t="s">
        <v>603</v>
      </c>
    </row>
    <row r="571" spans="1:1">
      <c r="A571" t="s">
        <v>604</v>
      </c>
    </row>
    <row r="572" spans="1:1">
      <c r="A572" t="s">
        <v>605</v>
      </c>
    </row>
    <row r="573" spans="1:1">
      <c r="A573" t="s">
        <v>606</v>
      </c>
    </row>
    <row r="574" spans="1:1">
      <c r="A574" t="s">
        <v>607</v>
      </c>
    </row>
    <row r="575" spans="1:1">
      <c r="A575" t="s">
        <v>608</v>
      </c>
    </row>
    <row r="576" spans="1:1">
      <c r="A576" t="s">
        <v>609</v>
      </c>
    </row>
    <row r="577" spans="1:1">
      <c r="A577" t="s">
        <v>610</v>
      </c>
    </row>
    <row r="578" spans="1:1">
      <c r="A578" t="s">
        <v>611</v>
      </c>
    </row>
    <row r="579" spans="1:1">
      <c r="A579" t="s">
        <v>612</v>
      </c>
    </row>
    <row r="580" spans="1:1">
      <c r="A580" t="s">
        <v>613</v>
      </c>
    </row>
    <row r="581" spans="1:1">
      <c r="A581" t="s">
        <v>614</v>
      </c>
    </row>
    <row r="582" spans="1:1">
      <c r="A582" t="s">
        <v>615</v>
      </c>
    </row>
    <row r="583" spans="1:1">
      <c r="A583" t="s">
        <v>616</v>
      </c>
    </row>
    <row r="584" spans="1:1">
      <c r="A584" t="s">
        <v>617</v>
      </c>
    </row>
    <row r="585" spans="1:1">
      <c r="A585" t="s">
        <v>618</v>
      </c>
    </row>
    <row r="586" spans="1:1">
      <c r="A586" t="s">
        <v>619</v>
      </c>
    </row>
    <row r="587" spans="1:1">
      <c r="A587" t="s">
        <v>620</v>
      </c>
    </row>
    <row r="588" spans="1:1">
      <c r="A588" t="s">
        <v>621</v>
      </c>
    </row>
    <row r="589" spans="1:1">
      <c r="A589" t="s">
        <v>622</v>
      </c>
    </row>
    <row r="590" spans="1:1">
      <c r="A590" t="s">
        <v>623</v>
      </c>
    </row>
    <row r="591" spans="1:1">
      <c r="A591" t="s">
        <v>624</v>
      </c>
    </row>
    <row r="592" spans="1:1">
      <c r="A592" t="s">
        <v>625</v>
      </c>
    </row>
    <row r="593" spans="1:1">
      <c r="A593" t="s">
        <v>626</v>
      </c>
    </row>
    <row r="594" spans="1:1">
      <c r="A594" t="s">
        <v>627</v>
      </c>
    </row>
    <row r="595" spans="1:1">
      <c r="A595" t="s">
        <v>628</v>
      </c>
    </row>
    <row r="596" spans="1:1">
      <c r="A596" t="s">
        <v>629</v>
      </c>
    </row>
    <row r="597" spans="1:1">
      <c r="A597" t="s">
        <v>630</v>
      </c>
    </row>
    <row r="598" spans="1:1">
      <c r="A598" t="s">
        <v>631</v>
      </c>
    </row>
    <row r="599" spans="1:1">
      <c r="A599" t="s">
        <v>632</v>
      </c>
    </row>
    <row r="600" spans="1:1">
      <c r="A600" t="s">
        <v>633</v>
      </c>
    </row>
    <row r="601" spans="1:1">
      <c r="A601" t="s">
        <v>634</v>
      </c>
    </row>
    <row r="602" spans="1:1">
      <c r="A602" t="s">
        <v>635</v>
      </c>
    </row>
    <row r="603" spans="1:1">
      <c r="A603" t="s">
        <v>636</v>
      </c>
    </row>
    <row r="604" spans="1:1">
      <c r="A604" t="s">
        <v>637</v>
      </c>
    </row>
    <row r="605" spans="1:1">
      <c r="A605" t="s">
        <v>638</v>
      </c>
    </row>
    <row r="606" spans="1:1">
      <c r="A606" t="s">
        <v>639</v>
      </c>
    </row>
    <row r="607" spans="1:1">
      <c r="A607" t="s">
        <v>640</v>
      </c>
    </row>
    <row r="608" spans="1:1">
      <c r="A608" t="s">
        <v>641</v>
      </c>
    </row>
    <row r="609" spans="1:1">
      <c r="A609" t="s">
        <v>642</v>
      </c>
    </row>
    <row r="610" spans="1:1">
      <c r="A610" t="s">
        <v>643</v>
      </c>
    </row>
    <row r="611" spans="1:1">
      <c r="A611" t="s">
        <v>644</v>
      </c>
    </row>
    <row r="612" spans="1:1">
      <c r="A612" t="s">
        <v>645</v>
      </c>
    </row>
    <row r="613" spans="1:1">
      <c r="A613" t="s">
        <v>646</v>
      </c>
    </row>
    <row r="614" spans="1:1">
      <c r="A614" t="s">
        <v>647</v>
      </c>
    </row>
    <row r="615" spans="1:1">
      <c r="A615" t="s">
        <v>648</v>
      </c>
    </row>
    <row r="616" spans="1:1">
      <c r="A616" t="s">
        <v>649</v>
      </c>
    </row>
    <row r="617" spans="1:1">
      <c r="A617" t="s">
        <v>650</v>
      </c>
    </row>
    <row r="618" spans="1:1">
      <c r="A618" t="s">
        <v>651</v>
      </c>
    </row>
    <row r="619" spans="1:1">
      <c r="A619" t="s">
        <v>652</v>
      </c>
    </row>
    <row r="620" spans="1:1">
      <c r="A620" t="s">
        <v>653</v>
      </c>
    </row>
    <row r="621" spans="1:1">
      <c r="A621" t="s">
        <v>654</v>
      </c>
    </row>
    <row r="622" spans="1:1">
      <c r="A622" t="s">
        <v>655</v>
      </c>
    </row>
    <row r="623" spans="1:1">
      <c r="A623" t="s">
        <v>656</v>
      </c>
    </row>
    <row r="624" spans="1:1">
      <c r="A624" t="s">
        <v>657</v>
      </c>
    </row>
    <row r="625" spans="1:1">
      <c r="A625" t="s">
        <v>658</v>
      </c>
    </row>
    <row r="626" spans="1:1">
      <c r="A626" t="s">
        <v>659</v>
      </c>
    </row>
    <row r="627" spans="1:1">
      <c r="A627" t="s">
        <v>660</v>
      </c>
    </row>
    <row r="628" spans="1:1">
      <c r="A628" t="s">
        <v>661</v>
      </c>
    </row>
    <row r="629" spans="1:1">
      <c r="A629" t="s">
        <v>662</v>
      </c>
    </row>
    <row r="630" spans="1:1">
      <c r="A630" t="s">
        <v>663</v>
      </c>
    </row>
    <row r="631" spans="1:1">
      <c r="A631" t="s">
        <v>664</v>
      </c>
    </row>
    <row r="632" spans="1:1">
      <c r="A632" t="s">
        <v>665</v>
      </c>
    </row>
    <row r="633" spans="1:1">
      <c r="A633" t="s">
        <v>666</v>
      </c>
    </row>
    <row r="634" spans="1:1">
      <c r="A634" t="s">
        <v>667</v>
      </c>
    </row>
    <row r="635" spans="1:1">
      <c r="A635" t="s">
        <v>668</v>
      </c>
    </row>
    <row r="636" spans="1:1">
      <c r="A636" t="s">
        <v>669</v>
      </c>
    </row>
    <row r="637" spans="1:1">
      <c r="A637" t="s">
        <v>670</v>
      </c>
    </row>
    <row r="638" spans="1:1">
      <c r="A638" t="s">
        <v>671</v>
      </c>
    </row>
    <row r="639" spans="1:1">
      <c r="A639" t="s">
        <v>672</v>
      </c>
    </row>
    <row r="640" spans="1:1">
      <c r="A640" t="s">
        <v>673</v>
      </c>
    </row>
    <row r="641" spans="1:1">
      <c r="A641" t="s">
        <v>674</v>
      </c>
    </row>
    <row r="642" spans="1:1">
      <c r="A642" t="s">
        <v>675</v>
      </c>
    </row>
    <row r="643" spans="1:1">
      <c r="A643" t="s">
        <v>676</v>
      </c>
    </row>
    <row r="644" spans="1:1">
      <c r="A644" t="s">
        <v>677</v>
      </c>
    </row>
    <row r="645" spans="1:1">
      <c r="A645" t="s">
        <v>678</v>
      </c>
    </row>
    <row r="646" spans="1:1">
      <c r="A646" t="s">
        <v>679</v>
      </c>
    </row>
    <row r="647" spans="1:1">
      <c r="A647" t="s">
        <v>680</v>
      </c>
    </row>
    <row r="648" spans="1:1">
      <c r="A648" t="s">
        <v>681</v>
      </c>
    </row>
    <row r="649" spans="1:1">
      <c r="A649" t="s">
        <v>682</v>
      </c>
    </row>
    <row r="650" spans="1:1">
      <c r="A650" t="s">
        <v>683</v>
      </c>
    </row>
    <row r="651" spans="1:1">
      <c r="A651" t="s">
        <v>684</v>
      </c>
    </row>
    <row r="652" spans="1:1">
      <c r="A652" t="s">
        <v>685</v>
      </c>
    </row>
    <row r="653" spans="1:1">
      <c r="A653" t="s">
        <v>686</v>
      </c>
    </row>
    <row r="654" spans="1:1">
      <c r="A654" t="s">
        <v>687</v>
      </c>
    </row>
    <row r="655" spans="1:1">
      <c r="A655" t="s">
        <v>688</v>
      </c>
    </row>
    <row r="656" spans="1:1">
      <c r="A656" t="s">
        <v>689</v>
      </c>
    </row>
    <row r="657" spans="1:1">
      <c r="A657" t="s">
        <v>690</v>
      </c>
    </row>
    <row r="658" spans="1:1">
      <c r="A658" t="s">
        <v>691</v>
      </c>
    </row>
    <row r="659" spans="1:1">
      <c r="A659" t="s">
        <v>692</v>
      </c>
    </row>
    <row r="660" spans="1:1">
      <c r="A660" t="s">
        <v>693</v>
      </c>
    </row>
    <row r="661" spans="1:1">
      <c r="A661" t="s">
        <v>694</v>
      </c>
    </row>
    <row r="662" spans="1:1">
      <c r="A662" t="s">
        <v>695</v>
      </c>
    </row>
    <row r="663" spans="1:1">
      <c r="A663" t="s">
        <v>696</v>
      </c>
    </row>
    <row r="664" spans="1:1">
      <c r="A664" t="s">
        <v>697</v>
      </c>
    </row>
    <row r="665" spans="1:1">
      <c r="A665" t="s">
        <v>698</v>
      </c>
    </row>
    <row r="666" spans="1:1">
      <c r="A666" t="s">
        <v>699</v>
      </c>
    </row>
    <row r="667" spans="1:1">
      <c r="A667" t="s">
        <v>700</v>
      </c>
    </row>
    <row r="668" spans="1:1">
      <c r="A668" t="s">
        <v>701</v>
      </c>
    </row>
    <row r="669" spans="1:1">
      <c r="A669" t="s">
        <v>702</v>
      </c>
    </row>
    <row r="670" spans="1:1">
      <c r="A670" t="s">
        <v>703</v>
      </c>
    </row>
    <row r="671" spans="1:1">
      <c r="A671" t="s">
        <v>704</v>
      </c>
    </row>
    <row r="672" spans="1:1">
      <c r="A672" t="s">
        <v>705</v>
      </c>
    </row>
    <row r="673" spans="1:1">
      <c r="A673" t="s">
        <v>706</v>
      </c>
    </row>
    <row r="674" spans="1:1">
      <c r="A674" t="s">
        <v>707</v>
      </c>
    </row>
    <row r="675" spans="1:1">
      <c r="A675" t="s">
        <v>708</v>
      </c>
    </row>
    <row r="676" spans="1:1">
      <c r="A676" t="s">
        <v>709</v>
      </c>
    </row>
    <row r="677" spans="1:1">
      <c r="A677" t="s">
        <v>710</v>
      </c>
    </row>
    <row r="678" spans="1:1">
      <c r="A678" t="s">
        <v>711</v>
      </c>
    </row>
    <row r="679" spans="1:1">
      <c r="A679" t="s">
        <v>712</v>
      </c>
    </row>
    <row r="680" spans="1:1">
      <c r="A680" t="s">
        <v>713</v>
      </c>
    </row>
    <row r="681" spans="1:1">
      <c r="A681" t="s">
        <v>714</v>
      </c>
    </row>
    <row r="682" spans="1:1">
      <c r="A682" t="s">
        <v>715</v>
      </c>
    </row>
    <row r="683" spans="1:1">
      <c r="A683" t="s">
        <v>716</v>
      </c>
    </row>
    <row r="684" spans="1:1">
      <c r="A684" t="s">
        <v>717</v>
      </c>
    </row>
    <row r="685" spans="1:1">
      <c r="A685" t="s">
        <v>718</v>
      </c>
    </row>
    <row r="686" spans="1:1">
      <c r="A686" t="s">
        <v>719</v>
      </c>
    </row>
    <row r="687" spans="1:1">
      <c r="A687" t="s">
        <v>720</v>
      </c>
    </row>
    <row r="688" spans="1:1">
      <c r="A688" t="s">
        <v>721</v>
      </c>
    </row>
    <row r="689" spans="1:1">
      <c r="A689" t="s">
        <v>722</v>
      </c>
    </row>
    <row r="690" spans="1:1">
      <c r="A690" t="s">
        <v>723</v>
      </c>
    </row>
    <row r="691" spans="1:1">
      <c r="A691" t="s">
        <v>724</v>
      </c>
    </row>
    <row r="692" spans="1:1">
      <c r="A692" t="s">
        <v>725</v>
      </c>
    </row>
    <row r="693" spans="1:1">
      <c r="A693" t="s">
        <v>726</v>
      </c>
    </row>
    <row r="694" spans="1:1">
      <c r="A694" t="s">
        <v>727</v>
      </c>
    </row>
    <row r="695" spans="1:1">
      <c r="A695" t="s">
        <v>728</v>
      </c>
    </row>
    <row r="696" spans="1:1">
      <c r="A696" t="s">
        <v>729</v>
      </c>
    </row>
    <row r="697" spans="1:1">
      <c r="A697" t="s">
        <v>730</v>
      </c>
    </row>
    <row r="698" spans="1:1">
      <c r="A698" t="s">
        <v>731</v>
      </c>
    </row>
    <row r="699" spans="1:1">
      <c r="A699" t="s">
        <v>732</v>
      </c>
    </row>
    <row r="700" spans="1:1">
      <c r="A700" t="s">
        <v>733</v>
      </c>
    </row>
    <row r="701" spans="1:1">
      <c r="A701" t="s">
        <v>734</v>
      </c>
    </row>
    <row r="702" spans="1:1">
      <c r="A702" t="s">
        <v>735</v>
      </c>
    </row>
    <row r="703" spans="1:1">
      <c r="A703" t="s">
        <v>736</v>
      </c>
    </row>
    <row r="704" spans="1:1">
      <c r="A704" t="s">
        <v>737</v>
      </c>
    </row>
    <row r="705" spans="1:1">
      <c r="A705" t="s">
        <v>738</v>
      </c>
    </row>
    <row r="706" spans="1:1">
      <c r="A706" t="s">
        <v>739</v>
      </c>
    </row>
    <row r="707" spans="1:1">
      <c r="A707" t="s">
        <v>740</v>
      </c>
    </row>
    <row r="708" spans="1:1">
      <c r="A708" t="s">
        <v>741</v>
      </c>
    </row>
    <row r="709" spans="1:1">
      <c r="A709" t="s">
        <v>742</v>
      </c>
    </row>
    <row r="710" spans="1:1">
      <c r="A710" t="s">
        <v>743</v>
      </c>
    </row>
    <row r="711" spans="1:1">
      <c r="A711" t="s">
        <v>744</v>
      </c>
    </row>
    <row r="712" spans="1:1">
      <c r="A712" t="s">
        <v>745</v>
      </c>
    </row>
    <row r="713" spans="1:1">
      <c r="A713" t="s">
        <v>746</v>
      </c>
    </row>
    <row r="714" spans="1:1">
      <c r="A714" t="s">
        <v>747</v>
      </c>
    </row>
    <row r="715" spans="1:1">
      <c r="A715" t="s">
        <v>748</v>
      </c>
    </row>
    <row r="716" spans="1:1">
      <c r="A716" t="s">
        <v>749</v>
      </c>
    </row>
    <row r="717" spans="1:1">
      <c r="A717" t="s">
        <v>750</v>
      </c>
    </row>
    <row r="718" spans="1:1">
      <c r="A718" t="s">
        <v>751</v>
      </c>
    </row>
    <row r="719" spans="1:1">
      <c r="A719" t="s">
        <v>752</v>
      </c>
    </row>
    <row r="720" spans="1:1">
      <c r="A720" t="s">
        <v>753</v>
      </c>
    </row>
    <row r="721" spans="1:1">
      <c r="A721" t="s">
        <v>754</v>
      </c>
    </row>
    <row r="722" spans="1:1">
      <c r="A722" t="s">
        <v>755</v>
      </c>
    </row>
    <row r="723" spans="1:1">
      <c r="A723" t="s">
        <v>756</v>
      </c>
    </row>
    <row r="724" spans="1:1">
      <c r="A724" t="s">
        <v>757</v>
      </c>
    </row>
    <row r="725" spans="1:1">
      <c r="A725" t="s">
        <v>758</v>
      </c>
    </row>
    <row r="726" spans="1:1">
      <c r="A726" t="s">
        <v>759</v>
      </c>
    </row>
    <row r="727" spans="1:1">
      <c r="A727" t="s">
        <v>760</v>
      </c>
    </row>
    <row r="728" spans="1:1">
      <c r="A728" t="s">
        <v>761</v>
      </c>
    </row>
    <row r="729" spans="1:1">
      <c r="A729" t="s">
        <v>762</v>
      </c>
    </row>
    <row r="730" spans="1:1">
      <c r="A730" t="s">
        <v>763</v>
      </c>
    </row>
    <row r="731" spans="1:1">
      <c r="A731" t="s">
        <v>764</v>
      </c>
    </row>
    <row r="732" spans="1:1">
      <c r="A732" t="s">
        <v>765</v>
      </c>
    </row>
    <row r="733" spans="1:1">
      <c r="A733" t="s">
        <v>766</v>
      </c>
    </row>
    <row r="734" spans="1:1">
      <c r="A734" t="s">
        <v>767</v>
      </c>
    </row>
    <row r="735" spans="1:1">
      <c r="A735" t="s">
        <v>768</v>
      </c>
    </row>
    <row r="736" spans="1:1">
      <c r="A736" t="s">
        <v>769</v>
      </c>
    </row>
    <row r="737" spans="1:1">
      <c r="A737" t="s">
        <v>770</v>
      </c>
    </row>
    <row r="738" spans="1:1">
      <c r="A738" t="s">
        <v>771</v>
      </c>
    </row>
    <row r="739" spans="1:1">
      <c r="A739" t="s">
        <v>772</v>
      </c>
    </row>
    <row r="740" spans="1:1">
      <c r="A740" t="s">
        <v>773</v>
      </c>
    </row>
    <row r="741" spans="1:1">
      <c r="A741" t="s">
        <v>774</v>
      </c>
    </row>
    <row r="742" spans="1:1">
      <c r="A742" t="s">
        <v>775</v>
      </c>
    </row>
    <row r="743" spans="1:1">
      <c r="A743" t="s">
        <v>776</v>
      </c>
    </row>
    <row r="744" spans="1:1">
      <c r="A744" t="s">
        <v>777</v>
      </c>
    </row>
    <row r="745" spans="1:1">
      <c r="A745" t="s">
        <v>778</v>
      </c>
    </row>
    <row r="746" spans="1:1">
      <c r="A746" t="s">
        <v>779</v>
      </c>
    </row>
    <row r="747" spans="1:1">
      <c r="A747" t="s">
        <v>780</v>
      </c>
    </row>
    <row r="748" spans="1:1">
      <c r="A748" t="s">
        <v>781</v>
      </c>
    </row>
    <row r="749" spans="1:1">
      <c r="A749" t="s">
        <v>782</v>
      </c>
    </row>
    <row r="750" spans="1:1">
      <c r="A750" t="s">
        <v>783</v>
      </c>
    </row>
    <row r="751" spans="1:1">
      <c r="A751" t="s">
        <v>784</v>
      </c>
    </row>
    <row r="752" spans="1:1">
      <c r="A752" t="s">
        <v>785</v>
      </c>
    </row>
    <row r="753" spans="1:1">
      <c r="A753" t="s">
        <v>786</v>
      </c>
    </row>
    <row r="754" spans="1:1">
      <c r="A754" t="s">
        <v>787</v>
      </c>
    </row>
    <row r="755" spans="1:1">
      <c r="A755" t="s">
        <v>788</v>
      </c>
    </row>
    <row r="756" spans="1:1">
      <c r="A756" t="s">
        <v>789</v>
      </c>
    </row>
    <row r="757" spans="1:1">
      <c r="A757" t="s">
        <v>790</v>
      </c>
    </row>
    <row r="758" spans="1:1">
      <c r="A758" t="s">
        <v>791</v>
      </c>
    </row>
    <row r="759" spans="1:1">
      <c r="A759" t="s">
        <v>792</v>
      </c>
    </row>
    <row r="760" spans="1:1">
      <c r="A760" t="s">
        <v>793</v>
      </c>
    </row>
    <row r="761" spans="1:1">
      <c r="A761" t="s">
        <v>794</v>
      </c>
    </row>
    <row r="762" spans="1:1">
      <c r="A762" t="s">
        <v>795</v>
      </c>
    </row>
    <row r="763" spans="1:1">
      <c r="A763" t="s">
        <v>796</v>
      </c>
    </row>
    <row r="764" spans="1:1">
      <c r="A764" t="s">
        <v>797</v>
      </c>
    </row>
    <row r="765" spans="1:1">
      <c r="A765" t="s">
        <v>798</v>
      </c>
    </row>
    <row r="766" spans="1:1">
      <c r="A766" t="s">
        <v>799</v>
      </c>
    </row>
    <row r="767" spans="1:1">
      <c r="A767" t="s">
        <v>800</v>
      </c>
    </row>
    <row r="768" spans="1:1">
      <c r="A768" t="s">
        <v>801</v>
      </c>
    </row>
    <row r="769" spans="1:1">
      <c r="A769" t="s">
        <v>802</v>
      </c>
    </row>
    <row r="770" spans="1:1">
      <c r="A770" t="s">
        <v>803</v>
      </c>
    </row>
    <row r="771" spans="1:1">
      <c r="A771" t="s">
        <v>804</v>
      </c>
    </row>
    <row r="772" spans="1:1">
      <c r="A772" t="s">
        <v>805</v>
      </c>
    </row>
    <row r="773" spans="1:1">
      <c r="A773" t="s">
        <v>806</v>
      </c>
    </row>
    <row r="774" spans="1:1">
      <c r="A774" t="s">
        <v>807</v>
      </c>
    </row>
    <row r="775" spans="1:1">
      <c r="A775" t="s">
        <v>808</v>
      </c>
    </row>
    <row r="776" spans="1:1">
      <c r="A776" t="s">
        <v>809</v>
      </c>
    </row>
    <row r="777" spans="1:1">
      <c r="A777" t="s">
        <v>810</v>
      </c>
    </row>
    <row r="778" spans="1:1">
      <c r="A778" t="s">
        <v>811</v>
      </c>
    </row>
    <row r="779" spans="1:1">
      <c r="A779" t="s">
        <v>812</v>
      </c>
    </row>
    <row r="780" spans="1:1">
      <c r="A780" t="s">
        <v>813</v>
      </c>
    </row>
    <row r="781" spans="1:1">
      <c r="A781" t="s">
        <v>814</v>
      </c>
    </row>
    <row r="782" spans="1:1">
      <c r="A782" t="s">
        <v>815</v>
      </c>
    </row>
    <row r="783" spans="1:1">
      <c r="A783" t="s">
        <v>816</v>
      </c>
    </row>
    <row r="784" spans="1:1">
      <c r="A784" t="s">
        <v>817</v>
      </c>
    </row>
    <row r="785" spans="1:1">
      <c r="A785" t="s">
        <v>818</v>
      </c>
    </row>
    <row r="786" spans="1:1">
      <c r="A786" t="s">
        <v>819</v>
      </c>
    </row>
    <row r="787" spans="1:1">
      <c r="A787" t="s">
        <v>820</v>
      </c>
    </row>
    <row r="788" spans="1:1">
      <c r="A788" t="s">
        <v>821</v>
      </c>
    </row>
    <row r="789" spans="1:1">
      <c r="A789" t="s">
        <v>822</v>
      </c>
    </row>
    <row r="790" spans="1:1">
      <c r="A790" t="s">
        <v>823</v>
      </c>
    </row>
    <row r="791" spans="1:1">
      <c r="A791" t="s">
        <v>824</v>
      </c>
    </row>
    <row r="792" spans="1:1">
      <c r="A792" t="s">
        <v>825</v>
      </c>
    </row>
    <row r="793" spans="1:1">
      <c r="A793" t="s">
        <v>826</v>
      </c>
    </row>
    <row r="794" spans="1:1">
      <c r="A794" t="s">
        <v>827</v>
      </c>
    </row>
    <row r="795" spans="1:1">
      <c r="A795" t="s">
        <v>828</v>
      </c>
    </row>
    <row r="796" spans="1:1">
      <c r="A796" t="s">
        <v>829</v>
      </c>
    </row>
    <row r="797" spans="1:1">
      <c r="A797" t="s">
        <v>830</v>
      </c>
    </row>
    <row r="798" spans="1:1">
      <c r="A798" t="s">
        <v>831</v>
      </c>
    </row>
    <row r="799" spans="1:1">
      <c r="A799" t="s">
        <v>832</v>
      </c>
    </row>
    <row r="800" spans="1:1">
      <c r="A800" t="s">
        <v>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EmployeeData</vt:lpstr>
      <vt:lpstr>Analysis</vt:lpstr>
      <vt:lpstr>Solution </vt:lpstr>
      <vt:lpstr>Sheet1</vt:lpstr>
      <vt:lpstr>Sheet3</vt:lpstr>
      <vt:lpstr>Sheet2</vt:lpstr>
      <vt:lpstr>Dashboard</vt:lpstr>
      <vt:lpstr>Employee id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Anchal Shukla</cp:lastModifiedBy>
  <cp:revision/>
  <dcterms:created xsi:type="dcterms:W3CDTF">2025-10-20T09:12:58Z</dcterms:created>
  <dcterms:modified xsi:type="dcterms:W3CDTF">2025-10-24T07:25:03Z</dcterms:modified>
  <cp:category/>
  <cp:contentStatus/>
</cp:coreProperties>
</file>